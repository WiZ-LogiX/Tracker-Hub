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BFE72EB4-1984-4385-B1B5-65A0444FBB7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  <sheet name="Sheet1" sheetId="2" r:id="rId2"/>
  </sheets>
  <definedNames>
    <definedName name="_xlnm.Print_Area" localSheetId="0">Лист1!$H$4:$M$32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3" i="1" l="1"/>
  <c r="H154" i="1"/>
  <c r="H155" i="1"/>
  <c r="H156" i="1"/>
  <c r="H157" i="1"/>
  <c r="H158" i="1"/>
  <c r="H159" i="1"/>
  <c r="H160" i="1"/>
  <c r="H152" i="1"/>
  <c r="I152" i="1"/>
  <c r="I153" i="1"/>
  <c r="I154" i="1"/>
  <c r="I155" i="1"/>
  <c r="I156" i="1"/>
  <c r="I157" i="1"/>
  <c r="I158" i="1"/>
  <c r="I159" i="1"/>
  <c r="I160" i="1"/>
  <c r="J153" i="1"/>
  <c r="J154" i="1"/>
  <c r="J155" i="1"/>
  <c r="J156" i="1"/>
  <c r="J157" i="1"/>
  <c r="J158" i="1"/>
  <c r="J159" i="1"/>
  <c r="J160" i="1"/>
  <c r="J152" i="1"/>
  <c r="K153" i="1"/>
  <c r="K154" i="1"/>
  <c r="K155" i="1"/>
  <c r="K156" i="1"/>
  <c r="K157" i="1"/>
  <c r="K158" i="1"/>
  <c r="K159" i="1"/>
  <c r="K160" i="1"/>
  <c r="K152" i="1"/>
  <c r="B2" i="2"/>
  <c r="B3" i="2"/>
  <c r="B4" i="2"/>
  <c r="B5" i="2"/>
  <c r="E34" i="2"/>
  <c r="E35" i="2"/>
  <c r="E36" i="2" s="1"/>
  <c r="E33" i="2"/>
  <c r="F34" i="2"/>
  <c r="F35" i="2" s="1"/>
  <c r="F36" i="2" s="1"/>
  <c r="F33" i="2"/>
  <c r="G34" i="2"/>
  <c r="G35" i="2" s="1"/>
  <c r="G36" i="2" s="1"/>
  <c r="G33" i="2"/>
  <c r="H34" i="2"/>
  <c r="H35" i="2" s="1"/>
  <c r="H36" i="2" s="1"/>
  <c r="H33" i="2"/>
  <c r="I34" i="2"/>
  <c r="I35" i="2" s="1"/>
  <c r="I36" i="2" s="1"/>
  <c r="I33" i="2"/>
  <c r="Q1" i="2" l="1"/>
  <c r="Q2" i="2"/>
  <c r="Q3" i="2"/>
  <c r="K17" i="1"/>
  <c r="K174" i="1" s="1"/>
  <c r="K22" i="1"/>
  <c r="K6" i="1"/>
  <c r="K162" i="1" s="1"/>
  <c r="Q5" i="2"/>
  <c r="Q4" i="2"/>
  <c r="B15" i="2"/>
  <c r="K123" i="1" l="1"/>
  <c r="R5" i="2" l="1"/>
  <c r="R1" i="2"/>
  <c r="K65" i="1" l="1"/>
  <c r="H23" i="1"/>
  <c r="H24" i="1"/>
  <c r="H25" i="1"/>
  <c r="H26" i="1"/>
  <c r="H27" i="1"/>
  <c r="H28" i="1"/>
  <c r="H29" i="1"/>
  <c r="H30" i="1"/>
  <c r="H31" i="1"/>
  <c r="H22" i="1"/>
  <c r="I22" i="1"/>
  <c r="K25" i="1"/>
  <c r="K24" i="1"/>
  <c r="K23" i="1"/>
  <c r="I17" i="1"/>
  <c r="I174" i="1" s="1"/>
  <c r="K16" i="1"/>
  <c r="K173" i="1" s="1"/>
  <c r="H16" i="1"/>
  <c r="H173" i="1" s="1"/>
  <c r="I16" i="1"/>
  <c r="I173" i="1" s="1"/>
  <c r="J16" i="1"/>
  <c r="J173" i="1" s="1"/>
  <c r="K15" i="1"/>
  <c r="K171" i="1" s="1"/>
  <c r="J15" i="1"/>
  <c r="J171" i="1" s="1"/>
  <c r="J22" i="1"/>
  <c r="B19" i="2"/>
  <c r="J17" i="1" l="1"/>
  <c r="J174" i="1" s="1"/>
  <c r="H18" i="1"/>
  <c r="H175" i="1" s="1"/>
  <c r="H17" i="1"/>
  <c r="H174" i="1" s="1"/>
  <c r="J18" i="1"/>
  <c r="J175" i="1" s="1"/>
  <c r="H20" i="1" l="1"/>
  <c r="H177" i="1" s="1"/>
  <c r="H19" i="1"/>
  <c r="H176" i="1" s="1"/>
  <c r="I18" i="1"/>
  <c r="I175" i="1" s="1"/>
  <c r="J20" i="1"/>
  <c r="J177" i="1" s="1"/>
  <c r="J19" i="1"/>
  <c r="J176" i="1" s="1"/>
  <c r="K18" i="1"/>
  <c r="K175" i="1" s="1"/>
  <c r="I20" i="1" l="1"/>
  <c r="I177" i="1" s="1"/>
  <c r="I19" i="1"/>
  <c r="I176" i="1" s="1"/>
  <c r="K20" i="1"/>
  <c r="K177" i="1" s="1"/>
  <c r="K19" i="1"/>
  <c r="K176" i="1" s="1"/>
  <c r="L5" i="2" l="1"/>
  <c r="K5" i="2"/>
  <c r="J5" i="2"/>
  <c r="I5" i="2"/>
  <c r="H5" i="2"/>
  <c r="G5" i="2"/>
  <c r="F5" i="2"/>
  <c r="E5" i="2"/>
  <c r="D5" i="2"/>
  <c r="C5" i="2"/>
  <c r="L4" i="2"/>
  <c r="K4" i="2"/>
  <c r="J4" i="2"/>
  <c r="I4" i="2"/>
  <c r="H4" i="2"/>
  <c r="G4" i="2"/>
  <c r="F4" i="2"/>
  <c r="E4" i="2"/>
  <c r="D4" i="2"/>
  <c r="C4" i="2"/>
  <c r="L3" i="2"/>
  <c r="K3" i="2"/>
  <c r="J3" i="2"/>
  <c r="I3" i="2"/>
  <c r="H3" i="2"/>
  <c r="G3" i="2"/>
  <c r="F3" i="2"/>
  <c r="E3" i="2"/>
  <c r="D3" i="2"/>
  <c r="C3" i="2"/>
  <c r="L2" i="2"/>
  <c r="K2" i="2"/>
  <c r="J2" i="2"/>
  <c r="I2" i="2"/>
  <c r="H2" i="2"/>
  <c r="G2" i="2"/>
  <c r="F2" i="2"/>
  <c r="E2" i="2"/>
  <c r="D2" i="2"/>
  <c r="C2" i="2"/>
  <c r="K19" i="2"/>
  <c r="J19" i="2"/>
  <c r="I19" i="2"/>
  <c r="H19" i="2"/>
  <c r="F19" i="2"/>
  <c r="G19" i="2"/>
  <c r="E19" i="2"/>
  <c r="D19" i="2"/>
  <c r="C19" i="2"/>
  <c r="K18" i="2"/>
  <c r="J18" i="2"/>
  <c r="I18" i="2"/>
  <c r="H18" i="2"/>
  <c r="G18" i="2"/>
  <c r="E18" i="2"/>
  <c r="F18" i="2"/>
  <c r="D18" i="2"/>
  <c r="C18" i="2"/>
  <c r="B18" i="2"/>
  <c r="K17" i="2"/>
  <c r="J17" i="2"/>
  <c r="I17" i="2"/>
  <c r="H17" i="2"/>
  <c r="G17" i="2"/>
  <c r="F17" i="2"/>
  <c r="E17" i="2"/>
  <c r="D17" i="2"/>
  <c r="C17" i="2"/>
  <c r="B17" i="2"/>
  <c r="K16" i="2"/>
  <c r="J16" i="2"/>
  <c r="I16" i="2"/>
  <c r="H16" i="2"/>
  <c r="G16" i="2"/>
  <c r="F16" i="2"/>
  <c r="E16" i="2"/>
  <c r="D16" i="2"/>
  <c r="C16" i="2"/>
  <c r="B16" i="2"/>
  <c r="K15" i="2"/>
  <c r="J15" i="2"/>
  <c r="I15" i="2"/>
  <c r="H15" i="2"/>
  <c r="G15" i="2"/>
  <c r="F15" i="2"/>
  <c r="E15" i="2"/>
  <c r="D15" i="2"/>
  <c r="C15" i="2"/>
  <c r="I15" i="1" l="1"/>
  <c r="I171" i="1" s="1"/>
  <c r="M5" i="2"/>
  <c r="N5" i="2" s="1"/>
  <c r="O5" i="2" s="1"/>
  <c r="P5" i="2" s="1"/>
  <c r="M4" i="2"/>
  <c r="N4" i="2" s="1"/>
  <c r="O4" i="2" s="1"/>
  <c r="P4" i="2" s="1"/>
  <c r="M2" i="2"/>
  <c r="N2" i="2" s="1"/>
  <c r="O2" i="2" s="1"/>
  <c r="P2" i="2" s="1"/>
  <c r="M3" i="2"/>
  <c r="N3" i="2" s="1"/>
  <c r="O3" i="2" s="1"/>
  <c r="P3" i="2" s="1"/>
  <c r="M1" i="2"/>
  <c r="N1" i="2" s="1"/>
  <c r="O1" i="2" s="1"/>
  <c r="P1" i="2" s="1"/>
  <c r="I23" i="1" l="1"/>
  <c r="J23" i="1"/>
  <c r="I24" i="1"/>
  <c r="J24" i="1"/>
  <c r="I25" i="1"/>
  <c r="J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K122" i="1" l="1"/>
  <c r="J121" i="1" l="1"/>
  <c r="I121" i="1" s="1"/>
  <c r="J120" i="1"/>
  <c r="I120" i="1" s="1"/>
  <c r="J119" i="1"/>
  <c r="I119" i="1" s="1"/>
  <c r="J118" i="1"/>
  <c r="I118" i="1" s="1"/>
  <c r="J117" i="1"/>
  <c r="I117" i="1" s="1"/>
  <c r="J116" i="1"/>
  <c r="I116" i="1" s="1"/>
  <c r="J115" i="1"/>
  <c r="I115" i="1" s="1"/>
  <c r="J114" i="1"/>
  <c r="I114" i="1" s="1"/>
  <c r="J113" i="1"/>
  <c r="I113" i="1" s="1"/>
  <c r="J112" i="1"/>
  <c r="J101" i="1"/>
  <c r="J103" i="1"/>
  <c r="J102" i="1"/>
  <c r="I112" i="1" l="1"/>
  <c r="H8" i="1"/>
  <c r="H164" i="1" s="1"/>
  <c r="H9" i="1"/>
  <c r="H165" i="1" s="1"/>
  <c r="H10" i="1"/>
  <c r="H166" i="1" s="1"/>
  <c r="H11" i="1"/>
  <c r="H167" i="1" s="1"/>
  <c r="H12" i="1"/>
  <c r="H168" i="1" s="1"/>
  <c r="H13" i="1"/>
  <c r="H169" i="1" s="1"/>
  <c r="H14" i="1"/>
  <c r="H170" i="1" s="1"/>
  <c r="H15" i="1"/>
  <c r="H171" i="1" s="1"/>
  <c r="H7" i="1"/>
  <c r="H163" i="1" s="1"/>
  <c r="H6" i="1"/>
  <c r="H162" i="1" s="1"/>
  <c r="I8" i="1"/>
  <c r="I164" i="1" s="1"/>
  <c r="I9" i="1"/>
  <c r="I165" i="1" s="1"/>
  <c r="I10" i="1"/>
  <c r="I166" i="1" s="1"/>
  <c r="I11" i="1"/>
  <c r="I167" i="1" s="1"/>
  <c r="I12" i="1"/>
  <c r="I168" i="1" s="1"/>
  <c r="I13" i="1"/>
  <c r="I169" i="1" s="1"/>
  <c r="I14" i="1"/>
  <c r="I170" i="1" s="1"/>
  <c r="I7" i="1"/>
  <c r="I163" i="1" s="1"/>
  <c r="I6" i="1"/>
  <c r="I162" i="1" s="1"/>
  <c r="J8" i="1"/>
  <c r="J164" i="1" s="1"/>
  <c r="J9" i="1"/>
  <c r="J165" i="1" s="1"/>
  <c r="J10" i="1"/>
  <c r="J166" i="1" s="1"/>
  <c r="J11" i="1"/>
  <c r="J167" i="1" s="1"/>
  <c r="J12" i="1"/>
  <c r="J168" i="1" s="1"/>
  <c r="J13" i="1"/>
  <c r="J169" i="1" s="1"/>
  <c r="J14" i="1"/>
  <c r="J170" i="1" s="1"/>
  <c r="J7" i="1"/>
  <c r="J163" i="1" s="1"/>
  <c r="J6" i="1"/>
  <c r="J162" i="1" s="1"/>
  <c r="K10" i="1"/>
  <c r="K166" i="1" s="1"/>
  <c r="K9" i="1"/>
  <c r="K165" i="1" s="1"/>
  <c r="K8" i="1"/>
  <c r="K164" i="1" s="1"/>
  <c r="K11" i="1"/>
  <c r="K167" i="1" s="1"/>
  <c r="K12" i="1"/>
  <c r="K168" i="1" s="1"/>
  <c r="K13" i="1"/>
  <c r="K169" i="1" s="1"/>
  <c r="K14" i="1"/>
  <c r="K170" i="1" s="1"/>
  <c r="K7" i="1"/>
  <c r="K163" i="1" s="1"/>
  <c r="R2" i="2"/>
  <c r="S2" i="2" s="1"/>
  <c r="R4" i="2"/>
  <c r="K125" i="1" l="1"/>
  <c r="I125" i="1" s="1"/>
  <c r="K124" i="1"/>
  <c r="I124" i="1" s="1"/>
  <c r="J36" i="1"/>
  <c r="I135" i="1"/>
  <c r="I134" i="1"/>
  <c r="I133" i="1"/>
  <c r="I132" i="1"/>
  <c r="I131" i="1"/>
  <c r="I130" i="1"/>
  <c r="I129" i="1"/>
  <c r="I128" i="1"/>
  <c r="I127" i="1"/>
  <c r="I126" i="1"/>
  <c r="I123" i="1"/>
  <c r="J110" i="1"/>
  <c r="I110" i="1" s="1"/>
  <c r="J109" i="1"/>
  <c r="I109" i="1" s="1"/>
  <c r="J108" i="1"/>
  <c r="I108" i="1" s="1"/>
  <c r="J107" i="1"/>
  <c r="I107" i="1" s="1"/>
  <c r="J106" i="1"/>
  <c r="I106" i="1" s="1"/>
  <c r="J105" i="1"/>
  <c r="I105" i="1" s="1"/>
  <c r="J104" i="1"/>
  <c r="I104" i="1" s="1"/>
  <c r="I103" i="1"/>
  <c r="I102" i="1"/>
  <c r="I101" i="1"/>
  <c r="J99" i="1"/>
  <c r="I99" i="1" s="1"/>
  <c r="J98" i="1"/>
  <c r="I98" i="1" s="1"/>
  <c r="J97" i="1"/>
  <c r="I97" i="1" s="1"/>
  <c r="J96" i="1"/>
  <c r="I96" i="1" s="1"/>
  <c r="J95" i="1"/>
  <c r="I95" i="1" s="1"/>
  <c r="J94" i="1"/>
  <c r="J93" i="1"/>
  <c r="I93" i="1" s="1"/>
  <c r="J92" i="1"/>
  <c r="I92" i="1" s="1"/>
  <c r="J91" i="1"/>
  <c r="I91" i="1" s="1"/>
  <c r="J90" i="1"/>
  <c r="I90" i="1" s="1"/>
  <c r="J89" i="1"/>
  <c r="I89" i="1" s="1"/>
  <c r="J88" i="1"/>
  <c r="I88" i="1" s="1"/>
  <c r="J87" i="1"/>
  <c r="I87" i="1" s="1"/>
  <c r="J86" i="1"/>
  <c r="I86" i="1" s="1"/>
  <c r="J85" i="1"/>
  <c r="I85" i="1" s="1"/>
  <c r="J58" i="1"/>
  <c r="J39" i="1"/>
  <c r="I71" i="1"/>
  <c r="I70" i="1"/>
  <c r="I69" i="1"/>
  <c r="K64" i="1"/>
  <c r="K63" i="1"/>
  <c r="J61" i="1"/>
  <c r="J60" i="1"/>
  <c r="J59" i="1"/>
  <c r="J57" i="1"/>
  <c r="J56" i="1"/>
  <c r="J55" i="1"/>
  <c r="J54" i="1"/>
  <c r="J53" i="1"/>
  <c r="J52" i="1"/>
  <c r="J50" i="1"/>
  <c r="J49" i="1"/>
  <c r="J48" i="1"/>
  <c r="I48" i="1" s="1"/>
  <c r="J47" i="1"/>
  <c r="I47" i="1" s="1"/>
  <c r="J46" i="1"/>
  <c r="I46" i="1" s="1"/>
  <c r="J45" i="1"/>
  <c r="J44" i="1"/>
  <c r="J43" i="1"/>
  <c r="J42" i="1"/>
  <c r="J41" i="1"/>
  <c r="J40" i="1"/>
  <c r="J38" i="1"/>
  <c r="J37" i="1"/>
  <c r="I94" i="1" l="1"/>
  <c r="I122" i="1" s="1"/>
  <c r="I136" i="1" s="1"/>
  <c r="I39" i="1"/>
  <c r="I52" i="1" l="1"/>
  <c r="I53" i="1"/>
  <c r="I54" i="1"/>
  <c r="I55" i="1"/>
  <c r="I56" i="1"/>
  <c r="I57" i="1"/>
  <c r="I58" i="1"/>
  <c r="I59" i="1"/>
  <c r="I60" i="1"/>
  <c r="I61" i="1"/>
  <c r="I63" i="1"/>
  <c r="I64" i="1" l="1"/>
  <c r="I65" i="1"/>
  <c r="I66" i="1"/>
  <c r="I67" i="1"/>
  <c r="I68" i="1"/>
  <c r="I72" i="1"/>
  <c r="I73" i="1"/>
  <c r="I74" i="1"/>
  <c r="K62" i="1" l="1"/>
  <c r="I37" i="1"/>
  <c r="I38" i="1"/>
  <c r="I41" i="1" s="1"/>
  <c r="I40" i="1"/>
  <c r="I42" i="1"/>
  <c r="I36" i="1"/>
  <c r="I43" i="1" l="1"/>
  <c r="I45" i="1"/>
  <c r="I50" i="1" s="1"/>
  <c r="I44" i="1"/>
  <c r="I49" i="1" s="1"/>
  <c r="I62" i="1" l="1"/>
  <c r="I75" i="1" l="1"/>
  <c r="I76" i="1" s="1"/>
</calcChain>
</file>

<file path=xl/sharedStrings.xml><?xml version="1.0" encoding="utf-8"?>
<sst xmlns="http://schemas.openxmlformats.org/spreadsheetml/2006/main" count="149" uniqueCount="87">
  <si>
    <t>عرض الوحدة</t>
  </si>
  <si>
    <t>الوحدات السفلية</t>
  </si>
  <si>
    <t>الوحدات العلوية</t>
  </si>
  <si>
    <t>ادراج</t>
  </si>
  <si>
    <t>عرض</t>
  </si>
  <si>
    <t>عدد</t>
  </si>
  <si>
    <t>سعر الوحدة</t>
  </si>
  <si>
    <t>سعر اجمالي</t>
  </si>
  <si>
    <t>الزاوية</t>
  </si>
  <si>
    <t>ركنة حرف L</t>
  </si>
  <si>
    <t>عدد الوحدات</t>
  </si>
  <si>
    <t>تجاليد علوي</t>
  </si>
  <si>
    <t>تجاليد سفلي</t>
  </si>
  <si>
    <t>تجاليد دولاب</t>
  </si>
  <si>
    <t>زجاج</t>
  </si>
  <si>
    <t>معاينة</t>
  </si>
  <si>
    <t>الاجمالي</t>
  </si>
  <si>
    <t>تروللي استانلس</t>
  </si>
  <si>
    <t xml:space="preserve">مطبقية استانلس </t>
  </si>
  <si>
    <t>دولاب استانلس</t>
  </si>
  <si>
    <t xml:space="preserve">ركنة حرف L </t>
  </si>
  <si>
    <t xml:space="preserve">عرض سعر للمطبخ </t>
  </si>
  <si>
    <t xml:space="preserve">سبت خضار </t>
  </si>
  <si>
    <t>دراع منطبق بلوم</t>
  </si>
  <si>
    <t>HPL</t>
  </si>
  <si>
    <t>PVC</t>
  </si>
  <si>
    <t>لامي جلوس</t>
  </si>
  <si>
    <t>يوفي لاك</t>
  </si>
  <si>
    <t>بولي لاك</t>
  </si>
  <si>
    <t>تجاليد مستوي تاني</t>
  </si>
  <si>
    <t>الوحدات السفلية للمطبخ علي خامة يلدز</t>
  </si>
  <si>
    <t xml:space="preserve">نقل </t>
  </si>
  <si>
    <t>ليد لايت</t>
  </si>
  <si>
    <t xml:space="preserve">السحارات </t>
  </si>
  <si>
    <t xml:space="preserve">زاوية </t>
  </si>
  <si>
    <t>الوحدات السفلية للمطبخ علي خامة HPL /PVC</t>
  </si>
  <si>
    <t>الوحدات العلوية للمطبخ علي خامة HPL /PVC</t>
  </si>
  <si>
    <t>الوحدات العلوية للمطبخ علي خامة يلدز</t>
  </si>
  <si>
    <t>وحدات السحارات للمطبخ علي خامة HPL /PVC</t>
  </si>
  <si>
    <t>وحدات السحارات للمطبخ علي خامة يلدز</t>
  </si>
  <si>
    <t xml:space="preserve">HPL
</t>
  </si>
  <si>
    <t xml:space="preserve">
PVC</t>
  </si>
  <si>
    <t xml:space="preserve">GLOSS MAX </t>
  </si>
  <si>
    <t xml:space="preserve">
ALVIC</t>
  </si>
  <si>
    <t>الوحدات السفلية
عمق 60 ارتفاع 86</t>
  </si>
  <si>
    <t>الوحدات العلوية
عمق 35 ارتفاع 75</t>
  </si>
  <si>
    <t>زاوية مشطورة</t>
  </si>
  <si>
    <t>الزاوية المشطورة</t>
  </si>
  <si>
    <t>يلدز</t>
  </si>
  <si>
    <t>جلوس ماكس</t>
  </si>
  <si>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سعر الوحدات العلوية عمق 35 ارتفاع 75</t>
    </r>
  </si>
  <si>
    <t>90سم</t>
  </si>
  <si>
    <t>80سم</t>
  </si>
  <si>
    <t>70سم</t>
  </si>
  <si>
    <t>60سم</t>
  </si>
  <si>
    <t>50سم</t>
  </si>
  <si>
    <r>
      <t xml:space="preserve"> 100</t>
    </r>
    <r>
      <rPr>
        <i/>
        <sz val="8"/>
        <color theme="1"/>
        <rFont val="Calibri"/>
        <family val="2"/>
        <scheme val="minor"/>
      </rPr>
      <t>سم</t>
    </r>
  </si>
  <si>
    <r>
      <t xml:space="preserve"> 90</t>
    </r>
    <r>
      <rPr>
        <i/>
        <sz val="8"/>
        <color theme="1"/>
        <rFont val="Calibri"/>
        <family val="2"/>
        <scheme val="minor"/>
      </rPr>
      <t>سم</t>
    </r>
  </si>
  <si>
    <r>
      <t xml:space="preserve"> 80</t>
    </r>
    <r>
      <rPr>
        <i/>
        <sz val="8"/>
        <color theme="1"/>
        <rFont val="Calibri"/>
        <family val="2"/>
        <scheme val="minor"/>
      </rPr>
      <t>سم</t>
    </r>
  </si>
  <si>
    <r>
      <t xml:space="preserve"> 70</t>
    </r>
    <r>
      <rPr>
        <i/>
        <sz val="8"/>
        <color theme="1"/>
        <rFont val="Calibri"/>
        <family val="2"/>
        <scheme val="minor"/>
      </rPr>
      <t>سم</t>
    </r>
  </si>
  <si>
    <r>
      <t xml:space="preserve"> 60</t>
    </r>
    <r>
      <rPr>
        <i/>
        <sz val="8"/>
        <color theme="1"/>
        <rFont val="Calibri"/>
        <family val="2"/>
        <scheme val="minor"/>
      </rPr>
      <t>سم</t>
    </r>
  </si>
  <si>
    <r>
      <t xml:space="preserve"> 50</t>
    </r>
    <r>
      <rPr>
        <i/>
        <sz val="8"/>
        <color theme="1"/>
        <rFont val="Calibri"/>
        <family val="2"/>
        <scheme val="minor"/>
      </rPr>
      <t>سم</t>
    </r>
  </si>
  <si>
    <r>
      <t xml:space="preserve"> 40</t>
    </r>
    <r>
      <rPr>
        <i/>
        <sz val="8"/>
        <color theme="1"/>
        <rFont val="Calibri"/>
        <family val="2"/>
        <scheme val="minor"/>
      </rPr>
      <t>سم</t>
    </r>
  </si>
  <si>
    <r>
      <t xml:space="preserve"> 30</t>
    </r>
    <r>
      <rPr>
        <i/>
        <sz val="8"/>
        <color theme="1"/>
        <rFont val="Calibri"/>
        <family val="2"/>
        <scheme val="minor"/>
      </rPr>
      <t>سم</t>
    </r>
  </si>
  <si>
    <t>60*60</t>
  </si>
  <si>
    <t>90*90</t>
  </si>
  <si>
    <t xml:space="preserve">الوحدات العلوية عمق 35 ارتفاع 75
</t>
  </si>
  <si>
    <t xml:space="preserve">الوحدات السفلية عمق 60 ارتفاع 86
</t>
  </si>
  <si>
    <t>نقل ومشال</t>
  </si>
  <si>
    <t>قائمة أسعار 2026كونتر Good Wood مفصلات TITUS/BLUM</t>
  </si>
  <si>
    <t>قائمة أسعار 2026 كونتر Good Wood مفصلات TITUS/BLUM</t>
  </si>
  <si>
    <t xml:space="preserve">5900جنية        </t>
  </si>
  <si>
    <t>6200جنية</t>
  </si>
  <si>
    <t>6900جنية</t>
  </si>
  <si>
    <t>7200جنية</t>
  </si>
  <si>
    <t xml:space="preserve">EGGER
</t>
  </si>
  <si>
    <t>POLYLAC</t>
  </si>
  <si>
    <t>5K</t>
  </si>
  <si>
    <t xml:space="preserve">الوحدات السفلية للمطبخ علي خامة جلوس ماكس برو/5K </t>
  </si>
  <si>
    <t>الوحدات السفلية للمطبخ علي خامة POLYLAC</t>
  </si>
  <si>
    <t>الوحدات السفلية للمطبخ علي خامة EGGER/ALVIC</t>
  </si>
  <si>
    <t>الوحدات العلوية للمطبخ علي خامة جلوس ماكس برو /5K</t>
  </si>
  <si>
    <t>الوحدات العلوية للمطبخ علي خامة POLYLAC</t>
  </si>
  <si>
    <t xml:space="preserve">الوحدات العلوية للمطبخ علي خامة EGGER/ALVIC </t>
  </si>
  <si>
    <t xml:space="preserve">وحدات السحارات للمطبخ علي خامة جلوس ماكس برو/5K </t>
  </si>
  <si>
    <t>وحدات السحارات للمطبخ علي خامة POLYLAC</t>
  </si>
  <si>
    <t>وحدات السحارات للمطبخ علي خامة EGGER/ALVIC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</si>
</sst>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CC068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0" borderId="0" xfId="0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2" borderId="0" xfId="0" applyFill="1"/>
    <xf numFmtId="0" fontId="1" fillId="14" borderId="4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11" borderId="13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14" borderId="19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6" fillId="9" borderId="11" xfId="0" applyFont="1" applyFill="1" applyBorder="1" applyAlignment="1">
      <alignment vertical="center"/>
    </xf>
    <xf numFmtId="0" fontId="0" fillId="3" borderId="27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>
      <alignment horizontal="right" vertical="center"/>
    </xf>
    <xf numFmtId="0" fontId="2" fillId="13" borderId="1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top" wrapText="1"/>
    </xf>
    <xf numFmtId="0" fontId="2" fillId="17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CC068"/>
      <color rgb="FF004F86"/>
      <color rgb="FF71C1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H2:M246"/>
  <sheetViews>
    <sheetView tabSelected="1" topLeftCell="A130" zoomScaleNormal="100" workbookViewId="0">
      <selection activeCell="H146" sqref="H146:M177"/>
    </sheetView>
  </sheetViews>
  <sheetFormatPr defaultColWidth="9.109375" defaultRowHeight="14.4" x14ac:dyDescent="0.3"/>
  <cols>
    <col min="1" max="5" width="9.109375" style="1"/>
    <col min="6" max="7" width="9" style="1" customWidth="1"/>
    <col min="8" max="8" width="18" style="1" bestFit="1" customWidth="1"/>
    <col min="9" max="9" width="18" style="1" customWidth="1"/>
    <col min="10" max="10" width="15.21875" style="1" bestFit="1" customWidth="1"/>
    <col min="11" max="11" width="13.21875" style="1" customWidth="1"/>
    <col min="12" max="12" width="12.5546875" style="1" customWidth="1"/>
    <col min="13" max="13" width="16.5546875" style="1" customWidth="1"/>
    <col min="14" max="22" width="9.109375" style="1"/>
    <col min="23" max="23" width="9.109375" style="1" customWidth="1"/>
    <col min="24" max="16384" width="9.109375" style="1"/>
  </cols>
  <sheetData>
    <row r="2" spans="8:13" ht="12" customHeight="1" x14ac:dyDescent="0.3"/>
    <row r="3" spans="8:13" ht="28.2" customHeight="1" x14ac:dyDescent="0.3">
      <c r="H3" s="72" t="s">
        <v>69</v>
      </c>
      <c r="I3" s="73"/>
      <c r="J3" s="73"/>
      <c r="K3" s="73"/>
      <c r="L3" s="73"/>
      <c r="M3" s="73"/>
    </row>
    <row r="4" spans="8:13" ht="19.8" customHeight="1" x14ac:dyDescent="0.3">
      <c r="H4" s="94" t="s">
        <v>75</v>
      </c>
      <c r="I4" s="68" t="s">
        <v>76</v>
      </c>
      <c r="J4" s="38" t="s">
        <v>42</v>
      </c>
      <c r="K4" s="29" t="s">
        <v>40</v>
      </c>
      <c r="L4" s="66" t="s">
        <v>0</v>
      </c>
      <c r="M4" s="70"/>
    </row>
    <row r="5" spans="8:13" ht="19.8" customHeight="1" x14ac:dyDescent="0.3">
      <c r="H5" s="27" t="s">
        <v>43</v>
      </c>
      <c r="I5" s="69"/>
      <c r="J5" s="37" t="s">
        <v>77</v>
      </c>
      <c r="K5" s="29" t="s">
        <v>41</v>
      </c>
      <c r="L5" s="67"/>
      <c r="M5" s="71"/>
    </row>
    <row r="6" spans="8:13" ht="14.4" customHeight="1" x14ac:dyDescent="0.3">
      <c r="H6" s="30">
        <f>Sheet1!I22</f>
        <v>9200</v>
      </c>
      <c r="I6" s="31">
        <f>Sheet1!H22</f>
        <v>8800</v>
      </c>
      <c r="J6" s="32">
        <f>Sheet1!G22</f>
        <v>8000</v>
      </c>
      <c r="K6" s="33">
        <f>Sheet1!E22</f>
        <v>7700</v>
      </c>
      <c r="L6" s="34">
        <v>100</v>
      </c>
      <c r="M6" s="77" t="s">
        <v>44</v>
      </c>
    </row>
    <row r="7" spans="8:13" ht="14.4" customHeight="1" x14ac:dyDescent="0.3">
      <c r="H7" s="30">
        <f>Sheet1!I23</f>
        <v>8500</v>
      </c>
      <c r="I7" s="31">
        <f>Sheet1!H23</f>
        <v>8100</v>
      </c>
      <c r="J7" s="32">
        <f>Sheet1!G23</f>
        <v>7400</v>
      </c>
      <c r="K7" s="33">
        <f>Sheet1!E23</f>
        <v>7200</v>
      </c>
      <c r="L7" s="34">
        <v>90</v>
      </c>
      <c r="M7" s="78"/>
    </row>
    <row r="8" spans="8:13" ht="14.4" customHeight="1" x14ac:dyDescent="0.3">
      <c r="H8" s="30">
        <f>Sheet1!I24</f>
        <v>7800</v>
      </c>
      <c r="I8" s="31">
        <f>Sheet1!H24</f>
        <v>7500</v>
      </c>
      <c r="J8" s="32">
        <f>Sheet1!G24</f>
        <v>6900</v>
      </c>
      <c r="K8" s="33">
        <f>Sheet1!E24</f>
        <v>6700</v>
      </c>
      <c r="L8" s="34">
        <v>80</v>
      </c>
      <c r="M8" s="78"/>
    </row>
    <row r="9" spans="8:13" ht="14.4" customHeight="1" x14ac:dyDescent="0.3">
      <c r="H9" s="30">
        <f>Sheet1!I25</f>
        <v>7100</v>
      </c>
      <c r="I9" s="31">
        <f>Sheet1!H25</f>
        <v>6900</v>
      </c>
      <c r="J9" s="32">
        <f>Sheet1!G25</f>
        <v>6300</v>
      </c>
      <c r="K9" s="33">
        <f>Sheet1!E25</f>
        <v>6100</v>
      </c>
      <c r="L9" s="34">
        <v>70</v>
      </c>
      <c r="M9" s="78"/>
    </row>
    <row r="10" spans="8:13" ht="14.4" customHeight="1" x14ac:dyDescent="0.3">
      <c r="H10" s="30">
        <f>Sheet1!I26</f>
        <v>6500</v>
      </c>
      <c r="I10" s="31">
        <f>Sheet1!H26</f>
        <v>6200</v>
      </c>
      <c r="J10" s="32">
        <f>Sheet1!G26</f>
        <v>5700</v>
      </c>
      <c r="K10" s="33">
        <f>Sheet1!E26</f>
        <v>5600</v>
      </c>
      <c r="L10" s="34">
        <v>60</v>
      </c>
      <c r="M10" s="78"/>
    </row>
    <row r="11" spans="8:13" ht="14.4" customHeight="1" x14ac:dyDescent="0.3">
      <c r="H11" s="30">
        <f>Sheet1!I27</f>
        <v>5300</v>
      </c>
      <c r="I11" s="31">
        <f>Sheet1!H27</f>
        <v>5100</v>
      </c>
      <c r="J11" s="32">
        <f>Sheet1!G27</f>
        <v>4700</v>
      </c>
      <c r="K11" s="33">
        <f>Sheet1!E27</f>
        <v>4500</v>
      </c>
      <c r="L11" s="34">
        <v>50</v>
      </c>
      <c r="M11" s="78"/>
    </row>
    <row r="12" spans="8:13" ht="14.4" customHeight="1" x14ac:dyDescent="0.3">
      <c r="H12" s="30">
        <f>Sheet1!I28</f>
        <v>4600</v>
      </c>
      <c r="I12" s="31">
        <f>Sheet1!H28</f>
        <v>4400</v>
      </c>
      <c r="J12" s="32">
        <f>Sheet1!G28</f>
        <v>4100</v>
      </c>
      <c r="K12" s="33">
        <f>Sheet1!E28</f>
        <v>4000</v>
      </c>
      <c r="L12" s="34">
        <v>40</v>
      </c>
      <c r="M12" s="78"/>
    </row>
    <row r="13" spans="8:13" ht="14.4" customHeight="1" x14ac:dyDescent="0.3">
      <c r="H13" s="30">
        <f>Sheet1!I29</f>
        <v>3900</v>
      </c>
      <c r="I13" s="31">
        <f>Sheet1!H29</f>
        <v>3800</v>
      </c>
      <c r="J13" s="32">
        <f>Sheet1!G29</f>
        <v>3500</v>
      </c>
      <c r="K13" s="33">
        <f>Sheet1!E29</f>
        <v>3500</v>
      </c>
      <c r="L13" s="34">
        <v>30</v>
      </c>
      <c r="M13" s="78"/>
    </row>
    <row r="14" spans="8:13" ht="18" x14ac:dyDescent="0.3">
      <c r="H14" s="30">
        <f>Sheet1!I30</f>
        <v>8400</v>
      </c>
      <c r="I14" s="31">
        <f>Sheet1!H30</f>
        <v>8200</v>
      </c>
      <c r="J14" s="32">
        <f>Sheet1!G30</f>
        <v>7900</v>
      </c>
      <c r="K14" s="33">
        <f>Sheet1!E30</f>
        <v>7800</v>
      </c>
      <c r="L14" s="34">
        <v>90</v>
      </c>
      <c r="M14" s="35" t="s">
        <v>46</v>
      </c>
    </row>
    <row r="15" spans="8:13" ht="18" x14ac:dyDescent="0.3">
      <c r="H15" s="30">
        <f>Sheet1!I31</f>
        <v>10400</v>
      </c>
      <c r="I15" s="31">
        <f>Sheet1!H31</f>
        <v>10200</v>
      </c>
      <c r="J15" s="32">
        <f>Sheet1!G31</f>
        <v>9700</v>
      </c>
      <c r="K15" s="33">
        <f>Sheet1!E31</f>
        <v>9500</v>
      </c>
      <c r="L15" s="34">
        <v>90</v>
      </c>
      <c r="M15" s="36" t="s">
        <v>20</v>
      </c>
    </row>
    <row r="16" spans="8:13" ht="14.4" customHeight="1" x14ac:dyDescent="0.3">
      <c r="H16" s="30">
        <f>Sheet1!I32</f>
        <v>8500</v>
      </c>
      <c r="I16" s="31">
        <f>Sheet1!H32</f>
        <v>8300</v>
      </c>
      <c r="J16" s="32">
        <f>Sheet1!G32</f>
        <v>7900</v>
      </c>
      <c r="K16" s="33">
        <f>Sheet1!E32</f>
        <v>7800</v>
      </c>
      <c r="L16" s="34">
        <v>50</v>
      </c>
      <c r="M16" s="47" t="s">
        <v>3</v>
      </c>
    </row>
    <row r="17" spans="8:13" ht="14.4" customHeight="1" x14ac:dyDescent="0.3">
      <c r="H17" s="30">
        <f>Sheet1!I33</f>
        <v>8800</v>
      </c>
      <c r="I17" s="31">
        <f>Sheet1!H33</f>
        <v>8600</v>
      </c>
      <c r="J17" s="32">
        <f>Sheet1!G33</f>
        <v>8200</v>
      </c>
      <c r="K17" s="33">
        <f>Sheet1!E33</f>
        <v>8100</v>
      </c>
      <c r="L17" s="34">
        <v>60</v>
      </c>
      <c r="M17" s="47"/>
    </row>
    <row r="18" spans="8:13" ht="14.4" customHeight="1" x14ac:dyDescent="0.3">
      <c r="H18" s="30">
        <f>Sheet1!I34</f>
        <v>9100</v>
      </c>
      <c r="I18" s="31">
        <f>Sheet1!H34</f>
        <v>8900</v>
      </c>
      <c r="J18" s="32">
        <f>Sheet1!G34</f>
        <v>8500</v>
      </c>
      <c r="K18" s="33">
        <f>Sheet1!E34</f>
        <v>8400</v>
      </c>
      <c r="L18" s="34">
        <v>70</v>
      </c>
      <c r="M18" s="47"/>
    </row>
    <row r="19" spans="8:13" ht="14.4" customHeight="1" x14ac:dyDescent="0.3">
      <c r="H19" s="30">
        <f>Sheet1!I35</f>
        <v>9400</v>
      </c>
      <c r="I19" s="31">
        <f>Sheet1!H35</f>
        <v>9200</v>
      </c>
      <c r="J19" s="32">
        <f>Sheet1!G35</f>
        <v>8800</v>
      </c>
      <c r="K19" s="33">
        <f>Sheet1!E35</f>
        <v>8700</v>
      </c>
      <c r="L19" s="34">
        <v>80</v>
      </c>
      <c r="M19" s="47"/>
    </row>
    <row r="20" spans="8:13" ht="15" customHeight="1" x14ac:dyDescent="0.3">
      <c r="H20" s="30">
        <f>Sheet1!I36</f>
        <v>9700</v>
      </c>
      <c r="I20" s="31">
        <f>Sheet1!H36</f>
        <v>9500</v>
      </c>
      <c r="J20" s="32">
        <f>Sheet1!G36</f>
        <v>9100</v>
      </c>
      <c r="K20" s="33">
        <f>Sheet1!E36</f>
        <v>9000</v>
      </c>
      <c r="L20" s="34">
        <v>90</v>
      </c>
      <c r="M20" s="47"/>
    </row>
    <row r="21" spans="8:13" ht="12" customHeight="1" x14ac:dyDescent="0.3">
      <c r="H21" s="59"/>
      <c r="I21" s="59"/>
      <c r="J21" s="59"/>
      <c r="K21" s="59"/>
      <c r="L21" s="59"/>
      <c r="M21" s="59"/>
    </row>
    <row r="22" spans="8:13" ht="15" customHeight="1" x14ac:dyDescent="0.3">
      <c r="H22" s="30">
        <f>Sheet1!I38</f>
        <v>7300</v>
      </c>
      <c r="I22" s="31">
        <f>Sheet1!H38</f>
        <v>6900</v>
      </c>
      <c r="J22" s="32">
        <f>Sheet1!G38</f>
        <v>6200</v>
      </c>
      <c r="K22" s="33">
        <f>Sheet1!E38</f>
        <v>5900</v>
      </c>
      <c r="L22" s="34">
        <v>100</v>
      </c>
      <c r="M22" s="53" t="s">
        <v>45</v>
      </c>
    </row>
    <row r="23" spans="8:13" ht="15" customHeight="1" x14ac:dyDescent="0.3">
      <c r="H23" s="30">
        <f>Sheet1!I39</f>
        <v>6700</v>
      </c>
      <c r="I23" s="31">
        <f>Sheet1!H39</f>
        <v>6400</v>
      </c>
      <c r="J23" s="32">
        <f>Sheet1!G39</f>
        <v>5700</v>
      </c>
      <c r="K23" s="33">
        <f>Sheet1!E39</f>
        <v>5500</v>
      </c>
      <c r="L23" s="34">
        <v>90</v>
      </c>
      <c r="M23" s="54"/>
    </row>
    <row r="24" spans="8:13" ht="15" customHeight="1" x14ac:dyDescent="0.3">
      <c r="H24" s="30">
        <f>Sheet1!I40</f>
        <v>6100</v>
      </c>
      <c r="I24" s="31">
        <f>Sheet1!H40</f>
        <v>5800</v>
      </c>
      <c r="J24" s="32">
        <f>Sheet1!G40</f>
        <v>5300</v>
      </c>
      <c r="K24" s="33">
        <f>Sheet1!E40</f>
        <v>5100</v>
      </c>
      <c r="L24" s="34">
        <v>80</v>
      </c>
      <c r="M24" s="54"/>
    </row>
    <row r="25" spans="8:13" ht="15" customHeight="1" x14ac:dyDescent="0.3">
      <c r="H25" s="30">
        <f>Sheet1!I41</f>
        <v>5600</v>
      </c>
      <c r="I25" s="31">
        <f>Sheet1!H41</f>
        <v>5300</v>
      </c>
      <c r="J25" s="32">
        <f>Sheet1!G41</f>
        <v>4800</v>
      </c>
      <c r="K25" s="33">
        <f>Sheet1!E41</f>
        <v>4600</v>
      </c>
      <c r="L25" s="34">
        <v>70</v>
      </c>
      <c r="M25" s="54"/>
    </row>
    <row r="26" spans="8:13" x14ac:dyDescent="0.3">
      <c r="H26" s="30">
        <f>Sheet1!I42</f>
        <v>5000</v>
      </c>
      <c r="I26" s="31">
        <f>Sheet1!H42</f>
        <v>4800</v>
      </c>
      <c r="J26" s="32">
        <f>Sheet1!G42</f>
        <v>4300</v>
      </c>
      <c r="K26" s="33">
        <f>Sheet1!E42</f>
        <v>4200</v>
      </c>
      <c r="L26" s="34">
        <v>60</v>
      </c>
      <c r="M26" s="54"/>
    </row>
    <row r="27" spans="8:13" x14ac:dyDescent="0.3">
      <c r="H27" s="30">
        <f>Sheet1!I43</f>
        <v>4100</v>
      </c>
      <c r="I27" s="31">
        <f>Sheet1!H43</f>
        <v>3900</v>
      </c>
      <c r="J27" s="32">
        <f>Sheet1!G43</f>
        <v>3600</v>
      </c>
      <c r="K27" s="33">
        <f>Sheet1!E43</f>
        <v>3400</v>
      </c>
      <c r="L27" s="34">
        <v>50</v>
      </c>
      <c r="M27" s="54"/>
    </row>
    <row r="28" spans="8:13" x14ac:dyDescent="0.3">
      <c r="H28" s="30">
        <f>Sheet1!I44</f>
        <v>3500</v>
      </c>
      <c r="I28" s="31">
        <f>Sheet1!H44</f>
        <v>3400</v>
      </c>
      <c r="J28" s="32">
        <f>Sheet1!G44</f>
        <v>3100</v>
      </c>
      <c r="K28" s="33">
        <f>Sheet1!E44</f>
        <v>3000</v>
      </c>
      <c r="L28" s="34">
        <v>40</v>
      </c>
      <c r="M28" s="54"/>
    </row>
    <row r="29" spans="8:13" x14ac:dyDescent="0.3">
      <c r="H29" s="30">
        <f>Sheet1!I45</f>
        <v>3000</v>
      </c>
      <c r="I29" s="31">
        <f>Sheet1!H45</f>
        <v>2800</v>
      </c>
      <c r="J29" s="32">
        <f>Sheet1!G45</f>
        <v>2600</v>
      </c>
      <c r="K29" s="33">
        <f>Sheet1!E45</f>
        <v>2600</v>
      </c>
      <c r="L29" s="34">
        <v>30</v>
      </c>
      <c r="M29" s="54"/>
    </row>
    <row r="30" spans="8:13" ht="18" x14ac:dyDescent="0.3">
      <c r="H30" s="30">
        <f>Sheet1!I46</f>
        <v>5200</v>
      </c>
      <c r="I30" s="31">
        <f>Sheet1!H46</f>
        <v>5100</v>
      </c>
      <c r="J30" s="32">
        <f>Sheet1!G46</f>
        <v>4900</v>
      </c>
      <c r="K30" s="33">
        <f>Sheet1!E46</f>
        <v>4800</v>
      </c>
      <c r="L30" s="34">
        <v>60</v>
      </c>
      <c r="M30" s="28" t="s">
        <v>46</v>
      </c>
    </row>
    <row r="31" spans="8:13" ht="18" x14ac:dyDescent="0.3">
      <c r="H31" s="30">
        <f>Sheet1!I47</f>
        <v>6900</v>
      </c>
      <c r="I31" s="31">
        <f>Sheet1!H47</f>
        <v>6800</v>
      </c>
      <c r="J31" s="32">
        <f>Sheet1!G47</f>
        <v>6400</v>
      </c>
      <c r="K31" s="33">
        <f>Sheet1!E47</f>
        <v>6300</v>
      </c>
      <c r="L31" s="34">
        <v>60</v>
      </c>
      <c r="M31" s="29" t="s">
        <v>9</v>
      </c>
    </row>
    <row r="32" spans="8:13" ht="2.4" customHeight="1" thickBot="1" x14ac:dyDescent="0.35"/>
    <row r="33" spans="9:13" ht="40.200000000000003" customHeight="1" thickBot="1" x14ac:dyDescent="0.35">
      <c r="I33" s="60" t="s">
        <v>21</v>
      </c>
      <c r="J33" s="61"/>
      <c r="K33" s="61"/>
      <c r="L33" s="61"/>
      <c r="M33" s="62"/>
    </row>
    <row r="34" spans="9:13" ht="25.2" customHeight="1" thickBot="1" x14ac:dyDescent="0.35">
      <c r="I34" s="48" t="s">
        <v>35</v>
      </c>
      <c r="J34" s="49"/>
      <c r="K34" s="49"/>
      <c r="L34" s="49"/>
      <c r="M34" s="50"/>
    </row>
    <row r="35" spans="9:13" ht="15" thickBot="1" x14ac:dyDescent="0.35">
      <c r="I35" s="14" t="s">
        <v>7</v>
      </c>
      <c r="J35" s="5" t="s">
        <v>6</v>
      </c>
      <c r="K35" s="5" t="s">
        <v>5</v>
      </c>
      <c r="L35" s="5" t="s">
        <v>4</v>
      </c>
      <c r="M35" s="51" t="s">
        <v>1</v>
      </c>
    </row>
    <row r="36" spans="9:13" x14ac:dyDescent="0.3">
      <c r="I36" s="15">
        <f t="shared" ref="I36:I50" si="0">K36*J36</f>
        <v>0</v>
      </c>
      <c r="J36" s="6">
        <f>VLOOKUP(I34,Sheet1!$A$1:$B$5,2,0)</f>
        <v>7700</v>
      </c>
      <c r="K36" s="2"/>
      <c r="L36" s="2">
        <v>100</v>
      </c>
      <c r="M36" s="52"/>
    </row>
    <row r="37" spans="9:13" x14ac:dyDescent="0.3">
      <c r="I37" s="15">
        <f t="shared" si="0"/>
        <v>0</v>
      </c>
      <c r="J37" s="7">
        <f>VLOOKUP(I34,Sheet1!$A$1:$P$5,3,0)</f>
        <v>7200</v>
      </c>
      <c r="K37" s="2"/>
      <c r="L37" s="2">
        <v>90</v>
      </c>
      <c r="M37" s="52"/>
    </row>
    <row r="38" spans="9:13" x14ac:dyDescent="0.3">
      <c r="I38" s="15">
        <f t="shared" si="0"/>
        <v>0</v>
      </c>
      <c r="J38" s="7">
        <f>VLOOKUP(I34,Sheet1!$A$1:$P$5,4,0)</f>
        <v>6700</v>
      </c>
      <c r="K38" s="2"/>
      <c r="L38" s="2">
        <v>80</v>
      </c>
      <c r="M38" s="52"/>
    </row>
    <row r="39" spans="9:13" x14ac:dyDescent="0.3">
      <c r="I39" s="15">
        <f>K39*J39</f>
        <v>0</v>
      </c>
      <c r="J39" s="7">
        <f>VLOOKUP(I34,Sheet1!$A$1:$P$5,5,0)</f>
        <v>6100</v>
      </c>
      <c r="K39" s="2"/>
      <c r="L39" s="2">
        <v>70</v>
      </c>
      <c r="M39" s="52"/>
    </row>
    <row r="40" spans="9:13" x14ac:dyDescent="0.3">
      <c r="I40" s="15">
        <f t="shared" si="0"/>
        <v>0</v>
      </c>
      <c r="J40" s="7">
        <f>VLOOKUP(I34,Sheet1!$A$1:$P$5,6,0)</f>
        <v>5600</v>
      </c>
      <c r="K40" s="2"/>
      <c r="L40" s="2">
        <v>60</v>
      </c>
      <c r="M40" s="52"/>
    </row>
    <row r="41" spans="9:13" x14ac:dyDescent="0.3">
      <c r="I41" s="15">
        <f t="shared" si="0"/>
        <v>0</v>
      </c>
      <c r="J41" s="7">
        <f>VLOOKUP(I34,Sheet1!$A$1:$P$5,7,0)</f>
        <v>4500</v>
      </c>
      <c r="K41" s="2"/>
      <c r="L41" s="2">
        <v>50</v>
      </c>
      <c r="M41" s="52"/>
    </row>
    <row r="42" spans="9:13" x14ac:dyDescent="0.3">
      <c r="I42" s="15">
        <f t="shared" si="0"/>
        <v>0</v>
      </c>
      <c r="J42" s="7">
        <f>VLOOKUP(I34,Sheet1!$A$1:$P$5,8,0)</f>
        <v>4000</v>
      </c>
      <c r="K42" s="2"/>
      <c r="L42" s="2">
        <v>40</v>
      </c>
      <c r="M42" s="52"/>
    </row>
    <row r="43" spans="9:13" x14ac:dyDescent="0.3">
      <c r="I43" s="15">
        <f t="shared" si="0"/>
        <v>0</v>
      </c>
      <c r="J43" s="7">
        <f>VLOOKUP(I34,Sheet1!$A$1:$P$5,9,0)</f>
        <v>3500</v>
      </c>
      <c r="K43" s="2"/>
      <c r="L43" s="2">
        <v>30</v>
      </c>
      <c r="M43" s="52"/>
    </row>
    <row r="44" spans="9:13" x14ac:dyDescent="0.3">
      <c r="I44" s="15">
        <f t="shared" si="0"/>
        <v>0</v>
      </c>
      <c r="J44" s="7">
        <f>VLOOKUP(I34,Sheet1!$A$1:$P$5,10,0)</f>
        <v>7800</v>
      </c>
      <c r="K44" s="2"/>
      <c r="L44" s="2">
        <v>90</v>
      </c>
      <c r="M44" s="16" t="s">
        <v>47</v>
      </c>
    </row>
    <row r="45" spans="9:13" x14ac:dyDescent="0.3">
      <c r="I45" s="15">
        <f t="shared" si="0"/>
        <v>0</v>
      </c>
      <c r="J45" s="7">
        <f>VLOOKUP(I34,Sheet1!$A$1:$P$5,11,0)</f>
        <v>9500</v>
      </c>
      <c r="K45" s="2"/>
      <c r="L45" s="2">
        <v>90</v>
      </c>
      <c r="M45" s="16" t="s">
        <v>9</v>
      </c>
    </row>
    <row r="46" spans="9:13" x14ac:dyDescent="0.3">
      <c r="I46" s="15">
        <f t="shared" si="0"/>
        <v>0</v>
      </c>
      <c r="J46" s="7">
        <f>VLOOKUP(I34,Sheet1!$A$1:$P$5,12,0)</f>
        <v>7800</v>
      </c>
      <c r="K46" s="2"/>
      <c r="L46" s="2">
        <v>50</v>
      </c>
      <c r="M46" s="74" t="s">
        <v>3</v>
      </c>
    </row>
    <row r="47" spans="9:13" x14ac:dyDescent="0.3">
      <c r="I47" s="15">
        <f t="shared" si="0"/>
        <v>0</v>
      </c>
      <c r="J47" s="7">
        <f>VLOOKUP(I34,Sheet1!$A$1:$P$5,13,0)</f>
        <v>8200</v>
      </c>
      <c r="K47" s="2"/>
      <c r="L47" s="2">
        <v>60</v>
      </c>
      <c r="M47" s="75"/>
    </row>
    <row r="48" spans="9:13" x14ac:dyDescent="0.3">
      <c r="I48" s="15">
        <f t="shared" si="0"/>
        <v>0</v>
      </c>
      <c r="J48" s="7">
        <f>VLOOKUP(I34,Sheet1!$A$1:$P$5,14,0)</f>
        <v>8600</v>
      </c>
      <c r="K48" s="2"/>
      <c r="L48" s="2">
        <v>70</v>
      </c>
      <c r="M48" s="75"/>
    </row>
    <row r="49" spans="9:13" x14ac:dyDescent="0.3">
      <c r="I49" s="15">
        <f t="shared" si="0"/>
        <v>0</v>
      </c>
      <c r="J49" s="7">
        <f>VLOOKUP(I34,Sheet1!$A$1:$P$5,15,0)</f>
        <v>9000</v>
      </c>
      <c r="K49" s="2"/>
      <c r="L49" s="2">
        <v>80</v>
      </c>
      <c r="M49" s="75"/>
    </row>
    <row r="50" spans="9:13" x14ac:dyDescent="0.3">
      <c r="I50" s="15">
        <f t="shared" si="0"/>
        <v>0</v>
      </c>
      <c r="J50" s="7">
        <f>VLOOKUP(I34,Sheet1!$A$1:$P$5,16,0)</f>
        <v>9400</v>
      </c>
      <c r="K50" s="2"/>
      <c r="L50" s="2">
        <v>90</v>
      </c>
      <c r="M50" s="76"/>
    </row>
    <row r="51" spans="9:13" ht="23.4" customHeight="1" thickBot="1" x14ac:dyDescent="0.35">
      <c r="I51" s="55" t="s">
        <v>36</v>
      </c>
      <c r="J51" s="56"/>
      <c r="K51" s="56"/>
      <c r="L51" s="56"/>
      <c r="M51" s="57"/>
    </row>
    <row r="52" spans="9:13" x14ac:dyDescent="0.3">
      <c r="I52" s="15">
        <f t="shared" ref="I52:I61" si="1">K52*J52</f>
        <v>0</v>
      </c>
      <c r="J52" s="6">
        <f>VLOOKUP(I51,Sheet1!$A$9:$K$13,2,0)</f>
        <v>5900</v>
      </c>
      <c r="K52" s="2"/>
      <c r="L52" s="2">
        <v>100</v>
      </c>
      <c r="M52" s="58" t="s">
        <v>2</v>
      </c>
    </row>
    <row r="53" spans="9:13" x14ac:dyDescent="0.3">
      <c r="I53" s="15">
        <f t="shared" si="1"/>
        <v>0</v>
      </c>
      <c r="J53" s="7">
        <f>VLOOKUP(I51,Sheet1!$A$9:$K$13,3,0)</f>
        <v>5500</v>
      </c>
      <c r="K53" s="2"/>
      <c r="L53" s="2">
        <v>90</v>
      </c>
      <c r="M53" s="52"/>
    </row>
    <row r="54" spans="9:13" x14ac:dyDescent="0.3">
      <c r="I54" s="15">
        <f t="shared" si="1"/>
        <v>0</v>
      </c>
      <c r="J54" s="7">
        <f>VLOOKUP(I51,Sheet1!$A$9:$K$13,4,0)</f>
        <v>5100</v>
      </c>
      <c r="K54" s="2"/>
      <c r="L54" s="2">
        <v>80</v>
      </c>
      <c r="M54" s="52"/>
    </row>
    <row r="55" spans="9:13" x14ac:dyDescent="0.3">
      <c r="I55" s="15">
        <f t="shared" si="1"/>
        <v>0</v>
      </c>
      <c r="J55" s="7">
        <f>VLOOKUP(I51,Sheet1!$A$9:$K$13,5,0)</f>
        <v>4600</v>
      </c>
      <c r="K55" s="2"/>
      <c r="L55" s="2">
        <v>70</v>
      </c>
      <c r="M55" s="52"/>
    </row>
    <row r="56" spans="9:13" x14ac:dyDescent="0.3">
      <c r="I56" s="15">
        <f t="shared" si="1"/>
        <v>0</v>
      </c>
      <c r="J56" s="7">
        <f>VLOOKUP(I51,Sheet1!$A$9:$K$13,6,0)</f>
        <v>4200</v>
      </c>
      <c r="K56" s="2"/>
      <c r="L56" s="2">
        <v>60</v>
      </c>
      <c r="M56" s="52"/>
    </row>
    <row r="57" spans="9:13" x14ac:dyDescent="0.3">
      <c r="I57" s="15">
        <f t="shared" si="1"/>
        <v>0</v>
      </c>
      <c r="J57" s="7">
        <f>VLOOKUP(I51,Sheet1!$A$9:$K$13,7,0)</f>
        <v>3400</v>
      </c>
      <c r="K57" s="2"/>
      <c r="L57" s="2">
        <v>50</v>
      </c>
      <c r="M57" s="52"/>
    </row>
    <row r="58" spans="9:13" x14ac:dyDescent="0.3">
      <c r="I58" s="15">
        <f t="shared" si="1"/>
        <v>0</v>
      </c>
      <c r="J58" s="7">
        <f>VLOOKUP(I51,Sheet1!$A$9:$K$13,8,0)</f>
        <v>3000</v>
      </c>
      <c r="K58" s="2"/>
      <c r="L58" s="2">
        <v>40</v>
      </c>
      <c r="M58" s="52"/>
    </row>
    <row r="59" spans="9:13" x14ac:dyDescent="0.3">
      <c r="I59" s="15">
        <f t="shared" si="1"/>
        <v>0</v>
      </c>
      <c r="J59" s="7">
        <f>VLOOKUP(I51,Sheet1!$A$9:$K$13,9,0)</f>
        <v>2600</v>
      </c>
      <c r="K59" s="2"/>
      <c r="L59" s="2">
        <v>30</v>
      </c>
      <c r="M59" s="52"/>
    </row>
    <row r="60" spans="9:13" x14ac:dyDescent="0.3">
      <c r="I60" s="15">
        <f t="shared" si="1"/>
        <v>0</v>
      </c>
      <c r="J60" s="7">
        <f>VLOOKUP(I51,Sheet1!$A$9:$K$13,10,0)</f>
        <v>4800</v>
      </c>
      <c r="K60" s="2"/>
      <c r="L60" s="2">
        <v>60</v>
      </c>
      <c r="M60" s="16" t="s">
        <v>47</v>
      </c>
    </row>
    <row r="61" spans="9:13" ht="15" thickBot="1" x14ac:dyDescent="0.35">
      <c r="I61" s="15">
        <f t="shared" si="1"/>
        <v>0</v>
      </c>
      <c r="J61" s="8">
        <f>VLOOKUP(I51,Sheet1!$A$9:$K$13,11,0)</f>
        <v>6300</v>
      </c>
      <c r="K61" s="2"/>
      <c r="L61" s="2">
        <v>60</v>
      </c>
      <c r="M61" s="16" t="s">
        <v>9</v>
      </c>
    </row>
    <row r="62" spans="9:13" x14ac:dyDescent="0.3">
      <c r="I62" s="44">
        <f>SUM(I36:I61)</f>
        <v>0</v>
      </c>
      <c r="J62" s="45"/>
      <c r="K62" s="46">
        <f>SUM(K36:K61)</f>
        <v>0</v>
      </c>
      <c r="L62" s="46"/>
      <c r="M62" s="20" t="s">
        <v>10</v>
      </c>
    </row>
    <row r="63" spans="9:13" x14ac:dyDescent="0.3">
      <c r="I63" s="21">
        <f>K63*L63</f>
        <v>0</v>
      </c>
      <c r="K63" s="1">
        <f>VLOOKUP(I51,Sheet1!$A$9:$L$13,12,0)</f>
        <v>500</v>
      </c>
      <c r="M63" s="22" t="s">
        <v>11</v>
      </c>
    </row>
    <row r="64" spans="9:13" x14ac:dyDescent="0.3">
      <c r="I64" s="21">
        <f t="shared" ref="I64:I75" si="2">K64*L64</f>
        <v>0</v>
      </c>
      <c r="K64" s="1">
        <f>VLOOKUP(I34,Sheet1!$A$1:$R$5,18,0)</f>
        <v>800</v>
      </c>
      <c r="M64" s="22" t="s">
        <v>12</v>
      </c>
    </row>
    <row r="65" spans="9:13" x14ac:dyDescent="0.3">
      <c r="I65" s="21">
        <f>K65*L65</f>
        <v>0</v>
      </c>
      <c r="K65" s="1">
        <f>VLOOKUP(I34,Sheet1!$A$1:$S$5,19,0)</f>
        <v>2600</v>
      </c>
      <c r="M65" s="22" t="s">
        <v>13</v>
      </c>
    </row>
    <row r="66" spans="9:13" x14ac:dyDescent="0.3">
      <c r="I66" s="21">
        <f t="shared" si="2"/>
        <v>0</v>
      </c>
      <c r="K66" s="1">
        <v>1500</v>
      </c>
      <c r="M66" s="22" t="s">
        <v>18</v>
      </c>
    </row>
    <row r="67" spans="9:13" x14ac:dyDescent="0.3">
      <c r="I67" s="21">
        <f t="shared" si="2"/>
        <v>0</v>
      </c>
      <c r="K67" s="1">
        <v>2500</v>
      </c>
      <c r="M67" s="22" t="s">
        <v>17</v>
      </c>
    </row>
    <row r="68" spans="9:13" x14ac:dyDescent="0.3">
      <c r="I68" s="21">
        <f t="shared" si="2"/>
        <v>0</v>
      </c>
      <c r="K68" s="1">
        <v>300</v>
      </c>
      <c r="M68" s="22" t="s">
        <v>22</v>
      </c>
    </row>
    <row r="69" spans="9:13" x14ac:dyDescent="0.3">
      <c r="I69" s="21">
        <f t="shared" si="2"/>
        <v>0</v>
      </c>
      <c r="K69" s="1">
        <v>500</v>
      </c>
      <c r="M69" s="22" t="s">
        <v>14</v>
      </c>
    </row>
    <row r="70" spans="9:13" x14ac:dyDescent="0.3">
      <c r="I70" s="21">
        <f t="shared" si="2"/>
        <v>0</v>
      </c>
      <c r="K70" s="1">
        <v>6500</v>
      </c>
      <c r="M70" s="22" t="s">
        <v>23</v>
      </c>
    </row>
    <row r="71" spans="9:13" x14ac:dyDescent="0.3">
      <c r="I71" s="21">
        <f t="shared" si="2"/>
        <v>0</v>
      </c>
      <c r="K71" s="1">
        <v>12000</v>
      </c>
      <c r="M71" s="22" t="s">
        <v>19</v>
      </c>
    </row>
    <row r="72" spans="9:13" x14ac:dyDescent="0.3">
      <c r="I72" s="21">
        <f t="shared" si="2"/>
        <v>0</v>
      </c>
      <c r="K72" s="1">
        <v>300</v>
      </c>
      <c r="M72" s="22" t="s">
        <v>32</v>
      </c>
    </row>
    <row r="73" spans="9:13" x14ac:dyDescent="0.3">
      <c r="I73" s="21">
        <f t="shared" si="2"/>
        <v>0</v>
      </c>
      <c r="K73" s="1">
        <v>500</v>
      </c>
      <c r="M73" s="22" t="s">
        <v>29</v>
      </c>
    </row>
    <row r="74" spans="9:13" x14ac:dyDescent="0.3">
      <c r="I74" s="21">
        <f t="shared" si="2"/>
        <v>0</v>
      </c>
      <c r="K74" s="1">
        <v>2000</v>
      </c>
      <c r="M74" s="22" t="s">
        <v>68</v>
      </c>
    </row>
    <row r="75" spans="9:13" x14ac:dyDescent="0.3">
      <c r="I75" s="21">
        <f t="shared" si="2"/>
        <v>0</v>
      </c>
      <c r="K75" s="1">
        <v>-1000</v>
      </c>
      <c r="M75" s="22" t="s">
        <v>15</v>
      </c>
    </row>
    <row r="76" spans="9:13" ht="15" thickBot="1" x14ac:dyDescent="0.35">
      <c r="I76" s="23">
        <f>SUM(I62:I75)</f>
        <v>0</v>
      </c>
      <c r="J76" s="24" t="s">
        <v>16</v>
      </c>
      <c r="K76" s="25"/>
      <c r="L76" s="25"/>
      <c r="M76" s="26"/>
    </row>
    <row r="78" spans="9:13" ht="18.600000000000001" customHeight="1" x14ac:dyDescent="0.3"/>
    <row r="79" spans="9:13" ht="28.2" customHeight="1" x14ac:dyDescent="0.3"/>
    <row r="81" spans="9:13" ht="15" thickBot="1" x14ac:dyDescent="0.35"/>
    <row r="82" spans="9:13" ht="29.4" thickBot="1" x14ac:dyDescent="0.35">
      <c r="I82" s="60" t="s">
        <v>21</v>
      </c>
      <c r="J82" s="61"/>
      <c r="K82" s="61"/>
      <c r="L82" s="61"/>
      <c r="M82" s="62"/>
    </row>
    <row r="83" spans="9:13" ht="21.6" thickBot="1" x14ac:dyDescent="0.35">
      <c r="I83" s="48" t="s">
        <v>80</v>
      </c>
      <c r="J83" s="49"/>
      <c r="K83" s="49"/>
      <c r="L83" s="49"/>
      <c r="M83" s="50"/>
    </row>
    <row r="84" spans="9:13" ht="15" thickBot="1" x14ac:dyDescent="0.35">
      <c r="I84" s="14" t="s">
        <v>7</v>
      </c>
      <c r="J84" s="5" t="s">
        <v>6</v>
      </c>
      <c r="K84" s="5" t="s">
        <v>5</v>
      </c>
      <c r="L84" s="5" t="s">
        <v>4</v>
      </c>
      <c r="M84" s="51" t="s">
        <v>1</v>
      </c>
    </row>
    <row r="85" spans="9:13" x14ac:dyDescent="0.3">
      <c r="I85" s="15">
        <f>K85*J85</f>
        <v>0</v>
      </c>
      <c r="J85" s="6">
        <f>VLOOKUP(I83,Sheet1!$A$1:$B$5,2,0)</f>
        <v>9200</v>
      </c>
      <c r="K85" s="2"/>
      <c r="L85" s="2">
        <v>100</v>
      </c>
      <c r="M85" s="52"/>
    </row>
    <row r="86" spans="9:13" x14ac:dyDescent="0.3">
      <c r="I86" s="15">
        <f>K86*J86</f>
        <v>0</v>
      </c>
      <c r="J86" s="7">
        <f>VLOOKUP(I83,Sheet1!$A$1:$P$5,3,0)</f>
        <v>8500</v>
      </c>
      <c r="K86" s="2"/>
      <c r="L86" s="2">
        <v>90</v>
      </c>
      <c r="M86" s="52"/>
    </row>
    <row r="87" spans="9:13" x14ac:dyDescent="0.3">
      <c r="I87" s="15">
        <f>K87*J87</f>
        <v>0</v>
      </c>
      <c r="J87" s="7">
        <f>VLOOKUP(I83,Sheet1!$A$1:$P$5,4,0)</f>
        <v>7800</v>
      </c>
      <c r="K87" s="2"/>
      <c r="L87" s="2">
        <v>80</v>
      </c>
      <c r="M87" s="52"/>
    </row>
    <row r="88" spans="9:13" x14ac:dyDescent="0.3">
      <c r="I88" s="15">
        <f>K88*J88</f>
        <v>0</v>
      </c>
      <c r="J88" s="7">
        <f>VLOOKUP(I83,Sheet1!$A$1:$P$5,5,0)</f>
        <v>7100</v>
      </c>
      <c r="K88" s="2"/>
      <c r="L88" s="2">
        <v>70</v>
      </c>
      <c r="M88" s="52"/>
    </row>
    <row r="89" spans="9:13" x14ac:dyDescent="0.3">
      <c r="I89" s="15">
        <f t="shared" ref="I89:I99" si="3">K89*J89</f>
        <v>0</v>
      </c>
      <c r="J89" s="7">
        <f>VLOOKUP(I83,Sheet1!$A$1:$P$5,6,0)</f>
        <v>6500</v>
      </c>
      <c r="K89" s="2"/>
      <c r="L89" s="2">
        <v>60</v>
      </c>
      <c r="M89" s="52"/>
    </row>
    <row r="90" spans="9:13" x14ac:dyDescent="0.3">
      <c r="I90" s="15">
        <f t="shared" si="3"/>
        <v>0</v>
      </c>
      <c r="J90" s="7">
        <f>VLOOKUP(I83,Sheet1!$A$1:$P$5,7,0)</f>
        <v>5300</v>
      </c>
      <c r="K90" s="2"/>
      <c r="L90" s="2">
        <v>50</v>
      </c>
      <c r="M90" s="52"/>
    </row>
    <row r="91" spans="9:13" x14ac:dyDescent="0.3">
      <c r="I91" s="15">
        <f t="shared" si="3"/>
        <v>0</v>
      </c>
      <c r="J91" s="7">
        <f>VLOOKUP(I83,Sheet1!$A$1:$P$5,8,0)</f>
        <v>4600</v>
      </c>
      <c r="K91" s="2"/>
      <c r="L91" s="2">
        <v>40</v>
      </c>
      <c r="M91" s="52"/>
    </row>
    <row r="92" spans="9:13" x14ac:dyDescent="0.3">
      <c r="I92" s="15">
        <f t="shared" si="3"/>
        <v>0</v>
      </c>
      <c r="J92" s="7">
        <f>VLOOKUP(I83,Sheet1!$A$1:$P$5,9,0)</f>
        <v>3900</v>
      </c>
      <c r="K92" s="2"/>
      <c r="L92" s="2">
        <v>30</v>
      </c>
      <c r="M92" s="52"/>
    </row>
    <row r="93" spans="9:13" x14ac:dyDescent="0.3">
      <c r="I93" s="15">
        <f t="shared" si="3"/>
        <v>0</v>
      </c>
      <c r="J93" s="7">
        <f>VLOOKUP(I83,Sheet1!$A$1:$P$5,10,0)</f>
        <v>8400</v>
      </c>
      <c r="K93" s="2"/>
      <c r="L93" s="2">
        <v>90</v>
      </c>
      <c r="M93" s="16" t="s">
        <v>8</v>
      </c>
    </row>
    <row r="94" spans="9:13" x14ac:dyDescent="0.3">
      <c r="I94" s="15">
        <f t="shared" si="3"/>
        <v>0</v>
      </c>
      <c r="J94" s="7">
        <f>VLOOKUP(I83,Sheet1!$A$1:$P$5,11,0)</f>
        <v>10400</v>
      </c>
      <c r="K94" s="2"/>
      <c r="L94" s="2">
        <v>90</v>
      </c>
      <c r="M94" s="16" t="s">
        <v>9</v>
      </c>
    </row>
    <row r="95" spans="9:13" x14ac:dyDescent="0.3">
      <c r="I95" s="15">
        <f t="shared" si="3"/>
        <v>0</v>
      </c>
      <c r="J95" s="7">
        <f>VLOOKUP(I83,Sheet1!$A$1:$P$5,12,0)</f>
        <v>8500</v>
      </c>
      <c r="K95" s="2"/>
      <c r="L95" s="2">
        <v>50</v>
      </c>
      <c r="M95" s="74" t="s">
        <v>3</v>
      </c>
    </row>
    <row r="96" spans="9:13" x14ac:dyDescent="0.3">
      <c r="I96" s="15">
        <f t="shared" si="3"/>
        <v>0</v>
      </c>
      <c r="J96" s="7">
        <f>VLOOKUP(I83,Sheet1!$A$1:$P$5,13,0)</f>
        <v>8900</v>
      </c>
      <c r="K96" s="2"/>
      <c r="L96" s="2">
        <v>60</v>
      </c>
      <c r="M96" s="75"/>
    </row>
    <row r="97" spans="9:13" x14ac:dyDescent="0.3">
      <c r="I97" s="15">
        <f t="shared" si="3"/>
        <v>0</v>
      </c>
      <c r="J97" s="7">
        <f>VLOOKUP(I83,Sheet1!$A$1:$P$5,14,0)</f>
        <v>9300</v>
      </c>
      <c r="K97" s="2"/>
      <c r="L97" s="2">
        <v>70</v>
      </c>
      <c r="M97" s="75"/>
    </row>
    <row r="98" spans="9:13" x14ac:dyDescent="0.3">
      <c r="I98" s="15">
        <f t="shared" si="3"/>
        <v>0</v>
      </c>
      <c r="J98" s="7">
        <f>VLOOKUP(I83,Sheet1!$A$1:$P$5,15,0)</f>
        <v>9700</v>
      </c>
      <c r="K98" s="2"/>
      <c r="L98" s="2">
        <v>80</v>
      </c>
      <c r="M98" s="75"/>
    </row>
    <row r="99" spans="9:13" ht="15" thickBot="1" x14ac:dyDescent="0.35">
      <c r="I99" s="18">
        <f t="shared" si="3"/>
        <v>0</v>
      </c>
      <c r="J99" s="10">
        <f>VLOOKUP(I83,Sheet1!$A$1:$P$5,16,0)</f>
        <v>10100</v>
      </c>
      <c r="K99" s="2"/>
      <c r="L99" s="9">
        <v>90</v>
      </c>
      <c r="M99" s="82"/>
    </row>
    <row r="100" spans="9:13" ht="18.600000000000001" thickBot="1" x14ac:dyDescent="0.35">
      <c r="I100" s="79" t="s">
        <v>83</v>
      </c>
      <c r="J100" s="80"/>
      <c r="K100" s="80"/>
      <c r="L100" s="80"/>
      <c r="M100" s="81"/>
    </row>
    <row r="101" spans="9:13" x14ac:dyDescent="0.3">
      <c r="I101" s="19">
        <f t="shared" ref="I101:I110" si="4">K101*J101</f>
        <v>0</v>
      </c>
      <c r="J101" s="12">
        <f>VLOOKUP(I100,Sheet1!$A$9:$K$13,2,0)</f>
        <v>7300</v>
      </c>
      <c r="K101" s="11"/>
      <c r="L101" s="11">
        <v>100</v>
      </c>
      <c r="M101" s="51" t="s">
        <v>2</v>
      </c>
    </row>
    <row r="102" spans="9:13" x14ac:dyDescent="0.3">
      <c r="I102" s="15">
        <f t="shared" si="4"/>
        <v>0</v>
      </c>
      <c r="J102" s="7">
        <f>VLOOKUP(I100,Sheet1!$A$9:$K$13,3,0)</f>
        <v>6700</v>
      </c>
      <c r="K102" s="2"/>
      <c r="L102" s="2">
        <v>90</v>
      </c>
      <c r="M102" s="52"/>
    </row>
    <row r="103" spans="9:13" x14ac:dyDescent="0.3">
      <c r="I103" s="15">
        <f t="shared" si="4"/>
        <v>0</v>
      </c>
      <c r="J103" s="7">
        <f>VLOOKUP(I100,Sheet1!$A$9:$K$13,4,0)</f>
        <v>6100</v>
      </c>
      <c r="K103" s="2"/>
      <c r="L103" s="2">
        <v>80</v>
      </c>
      <c r="M103" s="52"/>
    </row>
    <row r="104" spans="9:13" x14ac:dyDescent="0.3">
      <c r="I104" s="15">
        <f t="shared" si="4"/>
        <v>0</v>
      </c>
      <c r="J104" s="7">
        <f>VLOOKUP(I100,Sheet1!$A$9:$K$13,5,0)</f>
        <v>5600</v>
      </c>
      <c r="K104" s="2"/>
      <c r="L104" s="2">
        <v>70</v>
      </c>
      <c r="M104" s="52"/>
    </row>
    <row r="105" spans="9:13" x14ac:dyDescent="0.3">
      <c r="I105" s="15">
        <f t="shared" si="4"/>
        <v>0</v>
      </c>
      <c r="J105" s="7">
        <f>VLOOKUP(I100,Sheet1!$A$9:$K$13,6,0)</f>
        <v>5000</v>
      </c>
      <c r="K105" s="2"/>
      <c r="L105" s="2">
        <v>60</v>
      </c>
      <c r="M105" s="52"/>
    </row>
    <row r="106" spans="9:13" x14ac:dyDescent="0.3">
      <c r="I106" s="15">
        <f t="shared" si="4"/>
        <v>0</v>
      </c>
      <c r="J106" s="7">
        <f>VLOOKUP(I100,Sheet1!$A$9:$K$13,7,0)</f>
        <v>4100</v>
      </c>
      <c r="K106" s="2"/>
      <c r="L106" s="2">
        <v>50</v>
      </c>
      <c r="M106" s="52"/>
    </row>
    <row r="107" spans="9:13" x14ac:dyDescent="0.3">
      <c r="I107" s="15">
        <f t="shared" si="4"/>
        <v>0</v>
      </c>
      <c r="J107" s="7">
        <f>VLOOKUP(I100,Sheet1!$A$9:$K$13,8,0)</f>
        <v>3500</v>
      </c>
      <c r="K107" s="2"/>
      <c r="L107" s="2">
        <v>40</v>
      </c>
      <c r="M107" s="52"/>
    </row>
    <row r="108" spans="9:13" x14ac:dyDescent="0.3">
      <c r="I108" s="15">
        <f t="shared" si="4"/>
        <v>0</v>
      </c>
      <c r="J108" s="7">
        <f>VLOOKUP(I100,Sheet1!$A$9:$K$13,9,0)</f>
        <v>3000</v>
      </c>
      <c r="K108" s="2"/>
      <c r="L108" s="2">
        <v>30</v>
      </c>
      <c r="M108" s="52"/>
    </row>
    <row r="109" spans="9:13" x14ac:dyDescent="0.3">
      <c r="I109" s="15">
        <f t="shared" si="4"/>
        <v>0</v>
      </c>
      <c r="J109" s="7">
        <f>VLOOKUP(I100,Sheet1!$A$9:$K$13,10,0)</f>
        <v>5200</v>
      </c>
      <c r="K109" s="2"/>
      <c r="L109" s="2">
        <v>60</v>
      </c>
      <c r="M109" s="16" t="s">
        <v>8</v>
      </c>
    </row>
    <row r="110" spans="9:13" ht="15" thickBot="1" x14ac:dyDescent="0.35">
      <c r="I110" s="18">
        <f t="shared" si="4"/>
        <v>0</v>
      </c>
      <c r="J110" s="10">
        <f>VLOOKUP(I100,Sheet1!$A$9:$K$13,11,0)</f>
        <v>6900</v>
      </c>
      <c r="K110" s="9"/>
      <c r="L110" s="9">
        <v>60</v>
      </c>
      <c r="M110" s="17" t="s">
        <v>9</v>
      </c>
    </row>
    <row r="111" spans="9:13" ht="20.399999999999999" customHeight="1" x14ac:dyDescent="0.3">
      <c r="I111" s="63" t="s">
        <v>86</v>
      </c>
      <c r="J111" s="64"/>
      <c r="K111" s="64"/>
      <c r="L111" s="64"/>
      <c r="M111" s="65"/>
    </row>
    <row r="112" spans="9:13" x14ac:dyDescent="0.3">
      <c r="I112" s="15">
        <f>K112*J112</f>
        <v>0</v>
      </c>
      <c r="J112" s="13">
        <f>VLOOKUP(I111,Sheet1!A15:K19,2,0)</f>
        <v>7300</v>
      </c>
      <c r="K112" s="11"/>
      <c r="L112" s="2">
        <v>100</v>
      </c>
      <c r="M112" s="74" t="s">
        <v>33</v>
      </c>
    </row>
    <row r="113" spans="9:13" x14ac:dyDescent="0.3">
      <c r="I113" s="15">
        <f t="shared" ref="I113:I121" si="5">K113*J113</f>
        <v>0</v>
      </c>
      <c r="J113" s="13">
        <f>VLOOKUP(I111,Sheet1!A15:K19,3,0)</f>
        <v>6700</v>
      </c>
      <c r="K113" s="2"/>
      <c r="L113" s="2">
        <v>90</v>
      </c>
      <c r="M113" s="75"/>
    </row>
    <row r="114" spans="9:13" x14ac:dyDescent="0.3">
      <c r="I114" s="15">
        <f t="shared" si="5"/>
        <v>0</v>
      </c>
      <c r="J114" s="13">
        <f>VLOOKUP(I111,Sheet1!A15:K19,4,0)</f>
        <v>6100</v>
      </c>
      <c r="K114" s="2"/>
      <c r="L114" s="2">
        <v>80</v>
      </c>
      <c r="M114" s="75"/>
    </row>
    <row r="115" spans="9:13" x14ac:dyDescent="0.3">
      <c r="I115" s="15">
        <f t="shared" si="5"/>
        <v>0</v>
      </c>
      <c r="J115" s="13">
        <f>VLOOKUP(I111,Sheet1!A15:K19,5,0)</f>
        <v>5600</v>
      </c>
      <c r="K115" s="2"/>
      <c r="L115" s="2">
        <v>70</v>
      </c>
      <c r="M115" s="75"/>
    </row>
    <row r="116" spans="9:13" x14ac:dyDescent="0.3">
      <c r="I116" s="15">
        <f t="shared" si="5"/>
        <v>0</v>
      </c>
      <c r="J116" s="13">
        <f>VLOOKUP(I111,Sheet1!A15:K19,6,0)</f>
        <v>5000</v>
      </c>
      <c r="K116" s="2"/>
      <c r="L116" s="2">
        <v>60</v>
      </c>
      <c r="M116" s="75"/>
    </row>
    <row r="117" spans="9:13" x14ac:dyDescent="0.3">
      <c r="I117" s="15">
        <f t="shared" si="5"/>
        <v>0</v>
      </c>
      <c r="J117" s="13">
        <f>VLOOKUP(I111,Sheet1!A15:K19,7,0)</f>
        <v>4100</v>
      </c>
      <c r="K117" s="2"/>
      <c r="L117" s="2">
        <v>50</v>
      </c>
      <c r="M117" s="75"/>
    </row>
    <row r="118" spans="9:13" x14ac:dyDescent="0.3">
      <c r="I118" s="15">
        <f t="shared" si="5"/>
        <v>0</v>
      </c>
      <c r="J118" s="13">
        <f>VLOOKUP(I111,Sheet1!A15:K19,8,0)</f>
        <v>3500</v>
      </c>
      <c r="K118" s="2"/>
      <c r="L118" s="2">
        <v>40</v>
      </c>
      <c r="M118" s="75"/>
    </row>
    <row r="119" spans="9:13" x14ac:dyDescent="0.3">
      <c r="I119" s="15">
        <f t="shared" si="5"/>
        <v>0</v>
      </c>
      <c r="J119" s="13">
        <f>VLOOKUP(I111,Sheet1!A15:K19,9,0)</f>
        <v>3000</v>
      </c>
      <c r="K119" s="2"/>
      <c r="L119" s="2">
        <v>30</v>
      </c>
      <c r="M119" s="76"/>
    </row>
    <row r="120" spans="9:13" x14ac:dyDescent="0.3">
      <c r="I120" s="15">
        <f t="shared" si="5"/>
        <v>0</v>
      </c>
      <c r="J120" s="13">
        <f>VLOOKUP(I111,Sheet1!A15:K19,10,0)</f>
        <v>5200</v>
      </c>
      <c r="K120" s="2"/>
      <c r="L120" s="2">
        <v>60</v>
      </c>
      <c r="M120" s="16" t="s">
        <v>34</v>
      </c>
    </row>
    <row r="121" spans="9:13" x14ac:dyDescent="0.3">
      <c r="I121" s="15">
        <f t="shared" si="5"/>
        <v>0</v>
      </c>
      <c r="J121" s="13">
        <f>VLOOKUP(I111,Sheet1!A15:K19,11,0)</f>
        <v>6900</v>
      </c>
      <c r="K121" s="9"/>
      <c r="L121" s="2">
        <v>60</v>
      </c>
      <c r="M121" s="16" t="s">
        <v>9</v>
      </c>
    </row>
    <row r="122" spans="9:13" x14ac:dyDescent="0.3">
      <c r="I122" s="44">
        <f>SUM(I85:I121)</f>
        <v>0</v>
      </c>
      <c r="J122" s="45"/>
      <c r="K122" s="46">
        <f>SUM(K85:K121)</f>
        <v>0</v>
      </c>
      <c r="L122" s="46"/>
      <c r="M122" s="20" t="s">
        <v>10</v>
      </c>
    </row>
    <row r="123" spans="9:13" x14ac:dyDescent="0.3">
      <c r="I123" s="21">
        <f>K123*L123</f>
        <v>0</v>
      </c>
      <c r="K123" s="1">
        <f>VLOOKUP(I100,Sheet1!$A$9:$L$13,12,0)</f>
        <v>800</v>
      </c>
      <c r="M123" s="22" t="s">
        <v>11</v>
      </c>
    </row>
    <row r="124" spans="9:13" x14ac:dyDescent="0.3">
      <c r="I124" s="21">
        <f t="shared" ref="I124:I135" si="6">K124*L124</f>
        <v>0</v>
      </c>
      <c r="K124" s="1">
        <f>VLOOKUP(I83,Sheet1!$A$1:$R$5,18,0)</f>
        <v>1500</v>
      </c>
      <c r="M124" s="22" t="s">
        <v>12</v>
      </c>
    </row>
    <row r="125" spans="9:13" x14ac:dyDescent="0.3">
      <c r="I125" s="21">
        <f t="shared" si="6"/>
        <v>0</v>
      </c>
      <c r="K125" s="1">
        <f>VLOOKUP(I83,Sheet1!$A$1:$S$5,19,0)</f>
        <v>5000</v>
      </c>
      <c r="M125" s="22" t="s">
        <v>13</v>
      </c>
    </row>
    <row r="126" spans="9:13" x14ac:dyDescent="0.3">
      <c r="I126" s="21">
        <f t="shared" si="6"/>
        <v>0</v>
      </c>
      <c r="K126" s="1">
        <v>1500</v>
      </c>
      <c r="M126" s="22" t="s">
        <v>18</v>
      </c>
    </row>
    <row r="127" spans="9:13" x14ac:dyDescent="0.3">
      <c r="I127" s="21">
        <f t="shared" si="6"/>
        <v>0</v>
      </c>
      <c r="K127" s="1">
        <v>2500</v>
      </c>
      <c r="M127" s="22" t="s">
        <v>17</v>
      </c>
    </row>
    <row r="128" spans="9:13" ht="19.8" customHeight="1" x14ac:dyDescent="0.3">
      <c r="I128" s="21">
        <f t="shared" si="6"/>
        <v>0</v>
      </c>
      <c r="K128" s="1">
        <v>300</v>
      </c>
      <c r="M128" s="22" t="s">
        <v>22</v>
      </c>
    </row>
    <row r="129" spans="9:13" x14ac:dyDescent="0.3">
      <c r="I129" s="21">
        <f t="shared" si="6"/>
        <v>0</v>
      </c>
      <c r="K129" s="1">
        <v>500</v>
      </c>
      <c r="M129" s="22" t="s">
        <v>14</v>
      </c>
    </row>
    <row r="130" spans="9:13" x14ac:dyDescent="0.3">
      <c r="I130" s="21">
        <f t="shared" si="6"/>
        <v>0</v>
      </c>
      <c r="K130" s="1">
        <v>6500</v>
      </c>
      <c r="M130" s="22" t="s">
        <v>23</v>
      </c>
    </row>
    <row r="131" spans="9:13" x14ac:dyDescent="0.3">
      <c r="I131" s="21">
        <f t="shared" si="6"/>
        <v>0</v>
      </c>
      <c r="K131" s="1">
        <v>12000</v>
      </c>
      <c r="M131" s="22" t="s">
        <v>19</v>
      </c>
    </row>
    <row r="132" spans="9:13" x14ac:dyDescent="0.3">
      <c r="I132" s="21">
        <f t="shared" si="6"/>
        <v>0</v>
      </c>
      <c r="K132" s="1">
        <v>300</v>
      </c>
      <c r="M132" s="22" t="s">
        <v>32</v>
      </c>
    </row>
    <row r="133" spans="9:13" x14ac:dyDescent="0.3">
      <c r="I133" s="21">
        <f t="shared" si="6"/>
        <v>0</v>
      </c>
      <c r="K133" s="1">
        <v>1000</v>
      </c>
      <c r="M133" s="22" t="s">
        <v>29</v>
      </c>
    </row>
    <row r="134" spans="9:13" x14ac:dyDescent="0.3">
      <c r="I134" s="21">
        <f t="shared" si="6"/>
        <v>0</v>
      </c>
      <c r="K134" s="1">
        <v>2000</v>
      </c>
      <c r="M134" s="22" t="s">
        <v>31</v>
      </c>
    </row>
    <row r="135" spans="9:13" x14ac:dyDescent="0.3">
      <c r="I135" s="21">
        <f t="shared" si="6"/>
        <v>0</v>
      </c>
      <c r="K135" s="1">
        <v>-1000</v>
      </c>
      <c r="M135" s="22" t="s">
        <v>15</v>
      </c>
    </row>
    <row r="136" spans="9:13" ht="15" thickBot="1" x14ac:dyDescent="0.35">
      <c r="I136" s="23">
        <f>SUM(I122:J135)</f>
        <v>0</v>
      </c>
      <c r="J136" s="24" t="s">
        <v>16</v>
      </c>
      <c r="K136" s="25"/>
      <c r="L136" s="25"/>
      <c r="M136" s="26"/>
    </row>
    <row r="146" spans="8:13" ht="21" x14ac:dyDescent="0.3">
      <c r="H146" s="83" t="s">
        <v>70</v>
      </c>
      <c r="I146" s="84"/>
      <c r="J146" s="84"/>
      <c r="K146" s="84"/>
      <c r="L146" s="84"/>
      <c r="M146" s="84"/>
    </row>
    <row r="147" spans="8:13" ht="20.399999999999999" customHeight="1" x14ac:dyDescent="0.3">
      <c r="H147" s="95" t="s">
        <v>75</v>
      </c>
      <c r="I147" s="68" t="s">
        <v>76</v>
      </c>
      <c r="J147" s="43" t="s">
        <v>42</v>
      </c>
      <c r="K147" s="29" t="s">
        <v>40</v>
      </c>
      <c r="L147" s="66" t="s">
        <v>0</v>
      </c>
      <c r="M147" s="70"/>
    </row>
    <row r="148" spans="8:13" ht="20.399999999999999" customHeight="1" x14ac:dyDescent="0.3">
      <c r="H148" s="41" t="s">
        <v>43</v>
      </c>
      <c r="I148" s="69"/>
      <c r="J148" s="38" t="s">
        <v>77</v>
      </c>
      <c r="K148" s="29" t="s">
        <v>41</v>
      </c>
      <c r="L148" s="67"/>
      <c r="M148" s="71"/>
    </row>
    <row r="149" spans="8:13" ht="0.6" customHeight="1" x14ac:dyDescent="0.3">
      <c r="H149" s="59"/>
      <c r="I149" s="59"/>
      <c r="J149" s="59"/>
      <c r="K149" s="59"/>
      <c r="L149" s="59"/>
      <c r="M149" s="59"/>
    </row>
    <row r="150" spans="8:13" ht="19.8" hidden="1" customHeight="1" x14ac:dyDescent="0.3">
      <c r="H150" s="90" t="s">
        <v>50</v>
      </c>
      <c r="I150" s="91"/>
      <c r="J150" s="91"/>
      <c r="K150" s="91"/>
      <c r="L150" s="91"/>
      <c r="M150" s="92"/>
    </row>
    <row r="151" spans="8:13" x14ac:dyDescent="0.3">
      <c r="H151" s="42" t="s">
        <v>74</v>
      </c>
      <c r="I151" s="31" t="s">
        <v>73</v>
      </c>
      <c r="J151" s="32" t="s">
        <v>72</v>
      </c>
      <c r="K151" s="33" t="s">
        <v>71</v>
      </c>
      <c r="L151" s="34" t="s">
        <v>56</v>
      </c>
      <c r="M151" s="85" t="s">
        <v>66</v>
      </c>
    </row>
    <row r="152" spans="8:13" x14ac:dyDescent="0.3">
      <c r="H152" s="42">
        <f>H23</f>
        <v>6700</v>
      </c>
      <c r="I152" s="31">
        <f>I23</f>
        <v>6400</v>
      </c>
      <c r="J152" s="32">
        <f>J23</f>
        <v>5700</v>
      </c>
      <c r="K152" s="33">
        <f>K23</f>
        <v>5500</v>
      </c>
      <c r="L152" s="34" t="s">
        <v>57</v>
      </c>
      <c r="M152" s="86"/>
    </row>
    <row r="153" spans="8:13" x14ac:dyDescent="0.3">
      <c r="H153" s="42">
        <f t="shared" ref="H153:H160" si="7">H24</f>
        <v>6100</v>
      </c>
      <c r="I153" s="31">
        <f t="shared" ref="I153:I160" si="8">I24</f>
        <v>5800</v>
      </c>
      <c r="J153" s="32">
        <f t="shared" ref="J153:J160" si="9">J24</f>
        <v>5300</v>
      </c>
      <c r="K153" s="33">
        <f t="shared" ref="K153:K160" si="10">K24</f>
        <v>5100</v>
      </c>
      <c r="L153" s="34" t="s">
        <v>58</v>
      </c>
      <c r="M153" s="86"/>
    </row>
    <row r="154" spans="8:13" x14ac:dyDescent="0.3">
      <c r="H154" s="42">
        <f t="shared" si="7"/>
        <v>5600</v>
      </c>
      <c r="I154" s="31">
        <f t="shared" si="8"/>
        <v>5300</v>
      </c>
      <c r="J154" s="32">
        <f t="shared" si="9"/>
        <v>4800</v>
      </c>
      <c r="K154" s="33">
        <f t="shared" si="10"/>
        <v>4600</v>
      </c>
      <c r="L154" s="34" t="s">
        <v>59</v>
      </c>
      <c r="M154" s="86"/>
    </row>
    <row r="155" spans="8:13" x14ac:dyDescent="0.3">
      <c r="H155" s="42">
        <f t="shared" si="7"/>
        <v>5000</v>
      </c>
      <c r="I155" s="31">
        <f t="shared" si="8"/>
        <v>4800</v>
      </c>
      <c r="J155" s="32">
        <f t="shared" si="9"/>
        <v>4300</v>
      </c>
      <c r="K155" s="33">
        <f t="shared" si="10"/>
        <v>4200</v>
      </c>
      <c r="L155" s="34" t="s">
        <v>60</v>
      </c>
      <c r="M155" s="86"/>
    </row>
    <row r="156" spans="8:13" x14ac:dyDescent="0.3">
      <c r="H156" s="42">
        <f t="shared" si="7"/>
        <v>4100</v>
      </c>
      <c r="I156" s="31">
        <f t="shared" si="8"/>
        <v>3900</v>
      </c>
      <c r="J156" s="32">
        <f t="shared" si="9"/>
        <v>3600</v>
      </c>
      <c r="K156" s="33">
        <f t="shared" si="10"/>
        <v>3400</v>
      </c>
      <c r="L156" s="34" t="s">
        <v>61</v>
      </c>
      <c r="M156" s="86"/>
    </row>
    <row r="157" spans="8:13" x14ac:dyDescent="0.3">
      <c r="H157" s="42">
        <f t="shared" si="7"/>
        <v>3500</v>
      </c>
      <c r="I157" s="31">
        <f t="shared" si="8"/>
        <v>3400</v>
      </c>
      <c r="J157" s="32">
        <f t="shared" si="9"/>
        <v>3100</v>
      </c>
      <c r="K157" s="33">
        <f t="shared" si="10"/>
        <v>3000</v>
      </c>
      <c r="L157" s="34" t="s">
        <v>62</v>
      </c>
      <c r="M157" s="86"/>
    </row>
    <row r="158" spans="8:13" x14ac:dyDescent="0.3">
      <c r="H158" s="42">
        <f t="shared" si="7"/>
        <v>3000</v>
      </c>
      <c r="I158" s="31">
        <f t="shared" si="8"/>
        <v>2800</v>
      </c>
      <c r="J158" s="32">
        <f t="shared" si="9"/>
        <v>2600</v>
      </c>
      <c r="K158" s="33">
        <f t="shared" si="10"/>
        <v>2600</v>
      </c>
      <c r="L158" s="34" t="s">
        <v>63</v>
      </c>
      <c r="M158" s="86"/>
    </row>
    <row r="159" spans="8:13" ht="18" x14ac:dyDescent="0.3">
      <c r="H159" s="42">
        <f t="shared" si="7"/>
        <v>5200</v>
      </c>
      <c r="I159" s="31">
        <f t="shared" si="8"/>
        <v>5100</v>
      </c>
      <c r="J159" s="32">
        <f t="shared" si="9"/>
        <v>4900</v>
      </c>
      <c r="K159" s="33">
        <f t="shared" si="10"/>
        <v>4800</v>
      </c>
      <c r="L159" s="34" t="s">
        <v>64</v>
      </c>
      <c r="M159" s="40" t="s">
        <v>46</v>
      </c>
    </row>
    <row r="160" spans="8:13" ht="18" x14ac:dyDescent="0.3">
      <c r="H160" s="42">
        <f t="shared" si="7"/>
        <v>6900</v>
      </c>
      <c r="I160" s="31">
        <f t="shared" si="8"/>
        <v>6800</v>
      </c>
      <c r="J160" s="32">
        <f t="shared" si="9"/>
        <v>6400</v>
      </c>
      <c r="K160" s="33">
        <f t="shared" si="10"/>
        <v>6300</v>
      </c>
      <c r="L160" s="34" t="s">
        <v>64</v>
      </c>
      <c r="M160" s="40" t="s">
        <v>9</v>
      </c>
    </row>
    <row r="161" spans="8:13" ht="7.8" customHeight="1" x14ac:dyDescent="0.3">
      <c r="H161" s="87"/>
      <c r="I161" s="88"/>
      <c r="J161" s="88"/>
      <c r="K161" s="88"/>
      <c r="L161" s="88"/>
      <c r="M161" s="89"/>
    </row>
    <row r="162" spans="8:13" x14ac:dyDescent="0.3">
      <c r="H162" s="42">
        <f>H6</f>
        <v>9200</v>
      </c>
      <c r="I162" s="31">
        <f>I6</f>
        <v>8800</v>
      </c>
      <c r="J162" s="32">
        <f>J6</f>
        <v>8000</v>
      </c>
      <c r="K162" s="33">
        <f>K6</f>
        <v>7700</v>
      </c>
      <c r="L162" s="34" t="s">
        <v>56</v>
      </c>
      <c r="M162" s="77" t="s">
        <v>67</v>
      </c>
    </row>
    <row r="163" spans="8:13" x14ac:dyDescent="0.3">
      <c r="H163" s="42">
        <f t="shared" ref="H163:H171" si="11">H7</f>
        <v>8500</v>
      </c>
      <c r="I163" s="31">
        <f t="shared" ref="I163:I171" si="12">I7</f>
        <v>8100</v>
      </c>
      <c r="J163" s="32">
        <f t="shared" ref="J163:J171" si="13">J7</f>
        <v>7400</v>
      </c>
      <c r="K163" s="33">
        <f t="shared" ref="K163:K171" si="14">K7</f>
        <v>7200</v>
      </c>
      <c r="L163" s="34" t="s">
        <v>57</v>
      </c>
      <c r="M163" s="78"/>
    </row>
    <row r="164" spans="8:13" x14ac:dyDescent="0.3">
      <c r="H164" s="42">
        <f t="shared" si="11"/>
        <v>7800</v>
      </c>
      <c r="I164" s="31">
        <f t="shared" si="12"/>
        <v>7500</v>
      </c>
      <c r="J164" s="32">
        <f t="shared" si="13"/>
        <v>6900</v>
      </c>
      <c r="K164" s="33">
        <f t="shared" si="14"/>
        <v>6700</v>
      </c>
      <c r="L164" s="34" t="s">
        <v>58</v>
      </c>
      <c r="M164" s="78"/>
    </row>
    <row r="165" spans="8:13" x14ac:dyDescent="0.3">
      <c r="H165" s="42">
        <f t="shared" si="11"/>
        <v>7100</v>
      </c>
      <c r="I165" s="31">
        <f t="shared" si="12"/>
        <v>6900</v>
      </c>
      <c r="J165" s="32">
        <f t="shared" si="13"/>
        <v>6300</v>
      </c>
      <c r="K165" s="33">
        <f t="shared" si="14"/>
        <v>6100</v>
      </c>
      <c r="L165" s="34" t="s">
        <v>59</v>
      </c>
      <c r="M165" s="78"/>
    </row>
    <row r="166" spans="8:13" x14ac:dyDescent="0.3">
      <c r="H166" s="42">
        <f t="shared" si="11"/>
        <v>6500</v>
      </c>
      <c r="I166" s="31">
        <f t="shared" si="12"/>
        <v>6200</v>
      </c>
      <c r="J166" s="32">
        <f t="shared" si="13"/>
        <v>5700</v>
      </c>
      <c r="K166" s="33">
        <f t="shared" si="14"/>
        <v>5600</v>
      </c>
      <c r="L166" s="34" t="s">
        <v>60</v>
      </c>
      <c r="M166" s="78"/>
    </row>
    <row r="167" spans="8:13" x14ac:dyDescent="0.3">
      <c r="H167" s="42">
        <f t="shared" si="11"/>
        <v>5300</v>
      </c>
      <c r="I167" s="31">
        <f t="shared" si="12"/>
        <v>5100</v>
      </c>
      <c r="J167" s="32">
        <f t="shared" si="13"/>
        <v>4700</v>
      </c>
      <c r="K167" s="33">
        <f t="shared" si="14"/>
        <v>4500</v>
      </c>
      <c r="L167" s="34" t="s">
        <v>61</v>
      </c>
      <c r="M167" s="78"/>
    </row>
    <row r="168" spans="8:13" ht="21" customHeight="1" x14ac:dyDescent="0.3">
      <c r="H168" s="42">
        <f t="shared" si="11"/>
        <v>4600</v>
      </c>
      <c r="I168" s="31">
        <f t="shared" si="12"/>
        <v>4400</v>
      </c>
      <c r="J168" s="32">
        <f t="shared" si="13"/>
        <v>4100</v>
      </c>
      <c r="K168" s="33">
        <f t="shared" si="14"/>
        <v>4000</v>
      </c>
      <c r="L168" s="34" t="s">
        <v>62</v>
      </c>
      <c r="M168" s="78"/>
    </row>
    <row r="169" spans="8:13" x14ac:dyDescent="0.3">
      <c r="H169" s="42">
        <f t="shared" si="11"/>
        <v>3900</v>
      </c>
      <c r="I169" s="31">
        <f t="shared" si="12"/>
        <v>3800</v>
      </c>
      <c r="J169" s="32">
        <f t="shared" si="13"/>
        <v>3500</v>
      </c>
      <c r="K169" s="33">
        <f t="shared" si="14"/>
        <v>3500</v>
      </c>
      <c r="L169" s="34" t="s">
        <v>63</v>
      </c>
      <c r="M169" s="78"/>
    </row>
    <row r="170" spans="8:13" ht="18" x14ac:dyDescent="0.3">
      <c r="H170" s="42">
        <f t="shared" si="11"/>
        <v>8400</v>
      </c>
      <c r="I170" s="31">
        <f t="shared" si="12"/>
        <v>8200</v>
      </c>
      <c r="J170" s="32">
        <f t="shared" si="13"/>
        <v>7900</v>
      </c>
      <c r="K170" s="33">
        <f t="shared" si="14"/>
        <v>7800</v>
      </c>
      <c r="L170" s="34" t="s">
        <v>65</v>
      </c>
      <c r="M170" s="39" t="s">
        <v>46</v>
      </c>
    </row>
    <row r="171" spans="8:13" ht="18" x14ac:dyDescent="0.3">
      <c r="H171" s="42">
        <f t="shared" si="11"/>
        <v>10400</v>
      </c>
      <c r="I171" s="31">
        <f t="shared" si="12"/>
        <v>10200</v>
      </c>
      <c r="J171" s="32">
        <f t="shared" si="13"/>
        <v>9700</v>
      </c>
      <c r="K171" s="33">
        <f t="shared" si="14"/>
        <v>9500</v>
      </c>
      <c r="L171" s="34" t="s">
        <v>65</v>
      </c>
      <c r="M171" s="39" t="s">
        <v>20</v>
      </c>
    </row>
    <row r="172" spans="8:13" ht="7.8" customHeight="1" x14ac:dyDescent="0.3">
      <c r="H172" s="93"/>
      <c r="I172" s="91"/>
      <c r="J172" s="91"/>
      <c r="K172" s="91"/>
      <c r="L172" s="91"/>
      <c r="M172" s="92"/>
    </row>
    <row r="173" spans="8:13" x14ac:dyDescent="0.3">
      <c r="H173" s="42">
        <f>H16</f>
        <v>8500</v>
      </c>
      <c r="I173" s="31">
        <f>I16</f>
        <v>8300</v>
      </c>
      <c r="J173" s="32">
        <f>J16</f>
        <v>7900</v>
      </c>
      <c r="K173" s="33">
        <f>K16</f>
        <v>7800</v>
      </c>
      <c r="L173" s="34" t="s">
        <v>55</v>
      </c>
      <c r="M173" s="47" t="s">
        <v>3</v>
      </c>
    </row>
    <row r="174" spans="8:13" x14ac:dyDescent="0.3">
      <c r="H174" s="42">
        <f t="shared" ref="H174:H177" si="15">H17</f>
        <v>8800</v>
      </c>
      <c r="I174" s="31">
        <f t="shared" ref="I174:I177" si="16">I17</f>
        <v>8600</v>
      </c>
      <c r="J174" s="32">
        <f t="shared" ref="J174:J177" si="17">J17</f>
        <v>8200</v>
      </c>
      <c r="K174" s="33">
        <f t="shared" ref="K174:K177" si="18">K17</f>
        <v>8100</v>
      </c>
      <c r="L174" s="34" t="s">
        <v>54</v>
      </c>
      <c r="M174" s="47"/>
    </row>
    <row r="175" spans="8:13" x14ac:dyDescent="0.3">
      <c r="H175" s="42">
        <f t="shared" si="15"/>
        <v>9100</v>
      </c>
      <c r="I175" s="31">
        <f t="shared" si="16"/>
        <v>8900</v>
      </c>
      <c r="J175" s="32">
        <f t="shared" si="17"/>
        <v>8500</v>
      </c>
      <c r="K175" s="33">
        <f t="shared" si="18"/>
        <v>8400</v>
      </c>
      <c r="L175" s="34" t="s">
        <v>53</v>
      </c>
      <c r="M175" s="47"/>
    </row>
    <row r="176" spans="8:13" x14ac:dyDescent="0.3">
      <c r="H176" s="42">
        <f t="shared" si="15"/>
        <v>9400</v>
      </c>
      <c r="I176" s="31">
        <f t="shared" si="16"/>
        <v>9200</v>
      </c>
      <c r="J176" s="32">
        <f t="shared" si="17"/>
        <v>8800</v>
      </c>
      <c r="K176" s="33">
        <f t="shared" si="18"/>
        <v>8700</v>
      </c>
      <c r="L176" s="34" t="s">
        <v>52</v>
      </c>
      <c r="M176" s="47"/>
    </row>
    <row r="177" spans="8:13" x14ac:dyDescent="0.3">
      <c r="H177" s="42">
        <f t="shared" si="15"/>
        <v>9700</v>
      </c>
      <c r="I177" s="31">
        <f t="shared" si="16"/>
        <v>9500</v>
      </c>
      <c r="J177" s="32">
        <f t="shared" si="17"/>
        <v>9100</v>
      </c>
      <c r="K177" s="33">
        <f t="shared" si="18"/>
        <v>9000</v>
      </c>
      <c r="L177" s="34" t="s">
        <v>51</v>
      </c>
      <c r="M177" s="47"/>
    </row>
    <row r="205" spans="8:8" x14ac:dyDescent="0.3">
      <c r="H205" s="3"/>
    </row>
    <row r="207" spans="8:8" ht="34.200000000000003" customHeight="1" x14ac:dyDescent="0.3"/>
    <row r="246" ht="32.4" customHeight="1" x14ac:dyDescent="0.3"/>
  </sheetData>
  <dataConsolidate/>
  <mergeCells count="37">
    <mergeCell ref="H146:M146"/>
    <mergeCell ref="L147:L148"/>
    <mergeCell ref="M147:M148"/>
    <mergeCell ref="M162:M169"/>
    <mergeCell ref="M173:M177"/>
    <mergeCell ref="H149:M149"/>
    <mergeCell ref="M151:M158"/>
    <mergeCell ref="H161:M161"/>
    <mergeCell ref="H150:M150"/>
    <mergeCell ref="H172:M172"/>
    <mergeCell ref="I147:I148"/>
    <mergeCell ref="L4:L5"/>
    <mergeCell ref="I4:I5"/>
    <mergeCell ref="M4:M5"/>
    <mergeCell ref="H3:M3"/>
    <mergeCell ref="M112:M119"/>
    <mergeCell ref="M46:M50"/>
    <mergeCell ref="M6:M13"/>
    <mergeCell ref="M84:M92"/>
    <mergeCell ref="I100:M100"/>
    <mergeCell ref="M95:M99"/>
    <mergeCell ref="I122:J122"/>
    <mergeCell ref="K122:L122"/>
    <mergeCell ref="M16:M20"/>
    <mergeCell ref="I34:M34"/>
    <mergeCell ref="M101:M108"/>
    <mergeCell ref="M22:M29"/>
    <mergeCell ref="I62:J62"/>
    <mergeCell ref="I51:M51"/>
    <mergeCell ref="M35:M43"/>
    <mergeCell ref="M52:M59"/>
    <mergeCell ref="K62:L62"/>
    <mergeCell ref="H21:M21"/>
    <mergeCell ref="I33:M33"/>
    <mergeCell ref="I111:M111"/>
    <mergeCell ref="I82:M82"/>
    <mergeCell ref="I83:M83"/>
  </mergeCells>
  <pageMargins left="1" right="1" top="1" bottom="1" header="0.5" footer="0.5"/>
  <pageSetup scale="92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C972A1-F228-4165-B803-71641BC3EA65}">
          <x14:formula1>
            <xm:f>Sheet1!$A$1:$A$5</xm:f>
          </x14:formula1>
          <xm:sqref>I34:M34 I83:M83</xm:sqref>
        </x14:dataValidation>
        <x14:dataValidation type="list" allowBlank="1" showInputMessage="1" showErrorMessage="1" xr:uid="{801ED74D-B691-4B5F-AEBB-93F47BF016F5}">
          <x14:formula1>
            <xm:f>Sheet1!$A$9:$A$13</xm:f>
          </x14:formula1>
          <xm:sqref>A51:XFD51 I100:M100</xm:sqref>
        </x14:dataValidation>
        <x14:dataValidation type="list" allowBlank="1" showInputMessage="1" showErrorMessage="1" xr:uid="{D8C16B46-B4A4-4BA6-BA89-70AE162606B3}">
          <x14:formula1>
            <xm:f>Sheet1!$A$15:$A$19</xm:f>
          </x14:formula1>
          <xm:sqref>I111:M111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A924-E02B-4C49-A3A9-BD5CAD8885BE}">
  <dimension ref="A1:S47"/>
  <sheetViews>
    <sheetView workbookViewId="0">
      <selection activeCell="L22" sqref="L22"/>
    </sheetView>
  </sheetViews>
  <sheetFormatPr defaultRowHeight="14.4" x14ac:dyDescent="0.3"/>
  <cols>
    <col min="1" max="1" width="36" customWidth="1"/>
  </cols>
  <sheetData>
    <row r="1" spans="1:19" x14ac:dyDescent="0.3">
      <c r="A1" s="4" t="s">
        <v>35</v>
      </c>
      <c r="B1">
        <v>7700</v>
      </c>
      <c r="C1">
        <v>7200</v>
      </c>
      <c r="D1">
        <v>6700</v>
      </c>
      <c r="E1">
        <v>6100</v>
      </c>
      <c r="F1">
        <v>5600</v>
      </c>
      <c r="G1">
        <v>4500</v>
      </c>
      <c r="H1">
        <v>4000</v>
      </c>
      <c r="I1">
        <v>3500</v>
      </c>
      <c r="J1">
        <v>7800</v>
      </c>
      <c r="K1">
        <v>9500</v>
      </c>
      <c r="L1">
        <v>7800</v>
      </c>
      <c r="M1">
        <f>L1+400</f>
        <v>8200</v>
      </c>
      <c r="N1">
        <f>M1+400</f>
        <v>8600</v>
      </c>
      <c r="O1">
        <f>N1+400</f>
        <v>9000</v>
      </c>
      <c r="P1">
        <f>O1+400</f>
        <v>9400</v>
      </c>
      <c r="Q1">
        <f>(0.25*3150)</f>
        <v>787.5</v>
      </c>
      <c r="R1">
        <f>MROUND(Q1,100)</f>
        <v>800</v>
      </c>
      <c r="S1">
        <v>2600</v>
      </c>
    </row>
    <row r="2" spans="1:19" x14ac:dyDescent="0.3">
      <c r="A2" t="s">
        <v>30</v>
      </c>
      <c r="B2" s="1">
        <f>F22</f>
        <v>7800</v>
      </c>
      <c r="C2" s="1">
        <f>F23</f>
        <v>7200</v>
      </c>
      <c r="D2" s="1">
        <f>F24</f>
        <v>6700</v>
      </c>
      <c r="E2" s="1">
        <f>F25</f>
        <v>6200</v>
      </c>
      <c r="F2" s="1">
        <f>F26</f>
        <v>5600</v>
      </c>
      <c r="G2" s="1">
        <f>F27</f>
        <v>4600</v>
      </c>
      <c r="H2" s="1">
        <f>F28</f>
        <v>4000</v>
      </c>
      <c r="I2" s="1">
        <f>F29</f>
        <v>3500</v>
      </c>
      <c r="J2" s="1">
        <f>F30</f>
        <v>7800</v>
      </c>
      <c r="K2" s="1">
        <f>F31</f>
        <v>9600</v>
      </c>
      <c r="L2" s="1">
        <f>F32</f>
        <v>7900</v>
      </c>
      <c r="M2">
        <f t="shared" ref="M2:P5" si="0">L2+400</f>
        <v>8300</v>
      </c>
      <c r="N2">
        <f t="shared" si="0"/>
        <v>8700</v>
      </c>
      <c r="O2">
        <f t="shared" si="0"/>
        <v>9100</v>
      </c>
      <c r="P2">
        <f t="shared" si="0"/>
        <v>9500</v>
      </c>
      <c r="Q2">
        <f>(0.133*6800)</f>
        <v>904.40000000000009</v>
      </c>
      <c r="R2">
        <f>MROUND(Q2,100)</f>
        <v>900</v>
      </c>
      <c r="S2">
        <f>R2*3</f>
        <v>2700</v>
      </c>
    </row>
    <row r="3" spans="1:19" x14ac:dyDescent="0.3">
      <c r="A3" t="s">
        <v>78</v>
      </c>
      <c r="B3" s="1">
        <f>G22</f>
        <v>8000</v>
      </c>
      <c r="C3" s="1">
        <f>G23</f>
        <v>7400</v>
      </c>
      <c r="D3" s="1">
        <f>G24</f>
        <v>6900</v>
      </c>
      <c r="E3" s="1">
        <f>G25</f>
        <v>6300</v>
      </c>
      <c r="F3" s="1">
        <f>G26</f>
        <v>5700</v>
      </c>
      <c r="G3" s="1">
        <f>G27</f>
        <v>4700</v>
      </c>
      <c r="H3" s="1">
        <f>G28</f>
        <v>4100</v>
      </c>
      <c r="I3" s="1">
        <f>G29</f>
        <v>3500</v>
      </c>
      <c r="J3" s="1">
        <f>G30</f>
        <v>7900</v>
      </c>
      <c r="K3" s="1">
        <f>G31</f>
        <v>9700</v>
      </c>
      <c r="L3" s="1">
        <f>G32</f>
        <v>7900</v>
      </c>
      <c r="M3">
        <f t="shared" si="0"/>
        <v>8300</v>
      </c>
      <c r="N3">
        <f t="shared" si="0"/>
        <v>8700</v>
      </c>
      <c r="O3">
        <f t="shared" si="0"/>
        <v>9100</v>
      </c>
      <c r="P3">
        <f t="shared" si="0"/>
        <v>9500</v>
      </c>
      <c r="Q3">
        <f>(0.133*7800)</f>
        <v>1037.4000000000001</v>
      </c>
      <c r="R3">
        <v>1100</v>
      </c>
      <c r="S3">
        <v>3400</v>
      </c>
    </row>
    <row r="4" spans="1:19" x14ac:dyDescent="0.3">
      <c r="A4" t="s">
        <v>79</v>
      </c>
      <c r="B4" s="1">
        <f>H22</f>
        <v>8800</v>
      </c>
      <c r="C4" s="1">
        <f>H23</f>
        <v>8100</v>
      </c>
      <c r="D4" s="1">
        <f>H24</f>
        <v>7500</v>
      </c>
      <c r="E4" s="1">
        <f>H25</f>
        <v>6900</v>
      </c>
      <c r="F4" s="1">
        <f>H26</f>
        <v>6200</v>
      </c>
      <c r="G4" s="1">
        <f>H27</f>
        <v>5100</v>
      </c>
      <c r="H4" s="1">
        <f>H28</f>
        <v>4400</v>
      </c>
      <c r="I4" s="1">
        <f>H29</f>
        <v>3800</v>
      </c>
      <c r="J4" s="1">
        <f>H30</f>
        <v>8200</v>
      </c>
      <c r="K4" s="1">
        <f>H31</f>
        <v>10200</v>
      </c>
      <c r="L4" s="1">
        <f>H32</f>
        <v>8300</v>
      </c>
      <c r="M4">
        <f>L4+400</f>
        <v>8700</v>
      </c>
      <c r="N4">
        <f>M4+400</f>
        <v>9100</v>
      </c>
      <c r="O4">
        <f t="shared" si="0"/>
        <v>9500</v>
      </c>
      <c r="P4">
        <f t="shared" si="0"/>
        <v>9900</v>
      </c>
      <c r="Q4">
        <f>(0.21*6800)</f>
        <v>1428</v>
      </c>
      <c r="R4">
        <f>MROUND(Q4,100)</f>
        <v>1400</v>
      </c>
      <c r="S4">
        <v>4800</v>
      </c>
    </row>
    <row r="5" spans="1:19" x14ac:dyDescent="0.3">
      <c r="A5" t="s">
        <v>80</v>
      </c>
      <c r="B5" s="1">
        <f>I22</f>
        <v>9200</v>
      </c>
      <c r="C5" s="1">
        <f>I23</f>
        <v>8500</v>
      </c>
      <c r="D5" s="1">
        <f>I24</f>
        <v>7800</v>
      </c>
      <c r="E5" s="1">
        <f>I25</f>
        <v>7100</v>
      </c>
      <c r="F5" s="1">
        <f>I26</f>
        <v>6500</v>
      </c>
      <c r="G5" s="1">
        <f>I27</f>
        <v>5300</v>
      </c>
      <c r="H5" s="1">
        <f>I28</f>
        <v>4600</v>
      </c>
      <c r="I5" s="1">
        <f>I29</f>
        <v>3900</v>
      </c>
      <c r="J5" s="1">
        <f>I30</f>
        <v>8400</v>
      </c>
      <c r="K5" s="1">
        <f>I31</f>
        <v>10400</v>
      </c>
      <c r="L5" s="1">
        <f>I32</f>
        <v>8500</v>
      </c>
      <c r="M5">
        <f>L5+400</f>
        <v>8900</v>
      </c>
      <c r="N5">
        <f t="shared" si="0"/>
        <v>9300</v>
      </c>
      <c r="O5">
        <f t="shared" si="0"/>
        <v>9700</v>
      </c>
      <c r="P5">
        <f>O5+400</f>
        <v>10100</v>
      </c>
      <c r="Q5">
        <f>(0.21*7000)</f>
        <v>1470</v>
      </c>
      <c r="R5">
        <f>MROUND(Q5,100)</f>
        <v>1500</v>
      </c>
      <c r="S5">
        <v>5000</v>
      </c>
    </row>
    <row r="9" spans="1:19" x14ac:dyDescent="0.3">
      <c r="A9" s="4" t="s">
        <v>36</v>
      </c>
      <c r="B9" s="1">
        <v>5900</v>
      </c>
      <c r="C9" s="1">
        <v>5500</v>
      </c>
      <c r="D9" s="1">
        <v>5100</v>
      </c>
      <c r="E9" s="1">
        <v>4600</v>
      </c>
      <c r="F9" s="1">
        <v>4200</v>
      </c>
      <c r="G9" s="1">
        <v>3400</v>
      </c>
      <c r="H9" s="1">
        <v>3000</v>
      </c>
      <c r="I9" s="1">
        <v>2600</v>
      </c>
      <c r="J9" s="1">
        <v>4800</v>
      </c>
      <c r="K9" s="1">
        <v>6300</v>
      </c>
      <c r="L9">
        <v>500</v>
      </c>
    </row>
    <row r="10" spans="1:19" x14ac:dyDescent="0.3">
      <c r="A10" t="s">
        <v>37</v>
      </c>
      <c r="B10" s="1">
        <v>6000</v>
      </c>
      <c r="C10" s="1">
        <v>5600</v>
      </c>
      <c r="D10" s="1">
        <v>5100</v>
      </c>
      <c r="E10" s="1">
        <v>4700</v>
      </c>
      <c r="F10" s="1">
        <v>4200</v>
      </c>
      <c r="G10" s="1">
        <v>3500</v>
      </c>
      <c r="H10" s="1">
        <v>3000</v>
      </c>
      <c r="I10" s="1">
        <v>2600</v>
      </c>
      <c r="J10" s="1">
        <v>4800</v>
      </c>
      <c r="K10" s="1">
        <v>6400</v>
      </c>
      <c r="L10">
        <v>500</v>
      </c>
    </row>
    <row r="11" spans="1:19" x14ac:dyDescent="0.3">
      <c r="A11" t="s">
        <v>81</v>
      </c>
      <c r="B11" s="1">
        <v>6200</v>
      </c>
      <c r="C11" s="1">
        <v>5700</v>
      </c>
      <c r="D11" s="1">
        <v>5300</v>
      </c>
      <c r="E11" s="1">
        <v>4800</v>
      </c>
      <c r="F11" s="1">
        <v>4300</v>
      </c>
      <c r="G11" s="1">
        <v>3600</v>
      </c>
      <c r="H11" s="1">
        <v>3100</v>
      </c>
      <c r="I11" s="1">
        <v>2600</v>
      </c>
      <c r="J11" s="1">
        <v>4900</v>
      </c>
      <c r="K11" s="1">
        <v>6400</v>
      </c>
      <c r="L11">
        <v>600</v>
      </c>
    </row>
    <row r="12" spans="1:19" x14ac:dyDescent="0.3">
      <c r="A12" t="s">
        <v>82</v>
      </c>
      <c r="B12" s="1">
        <v>6900</v>
      </c>
      <c r="C12" s="1">
        <v>6400</v>
      </c>
      <c r="D12" s="1">
        <v>5800</v>
      </c>
      <c r="E12" s="1">
        <v>5300</v>
      </c>
      <c r="F12" s="1">
        <v>4800</v>
      </c>
      <c r="G12" s="1">
        <v>3900</v>
      </c>
      <c r="H12" s="1">
        <v>3400</v>
      </c>
      <c r="I12" s="1">
        <v>2800</v>
      </c>
      <c r="J12" s="1">
        <v>5100</v>
      </c>
      <c r="K12" s="1">
        <v>6800</v>
      </c>
      <c r="L12">
        <v>600</v>
      </c>
    </row>
    <row r="13" spans="1:19" x14ac:dyDescent="0.3">
      <c r="A13" t="s">
        <v>83</v>
      </c>
      <c r="B13" s="1">
        <v>7300</v>
      </c>
      <c r="C13" s="1">
        <v>6700</v>
      </c>
      <c r="D13" s="1">
        <v>6100</v>
      </c>
      <c r="E13" s="1">
        <v>5600</v>
      </c>
      <c r="F13" s="1">
        <v>5000</v>
      </c>
      <c r="G13" s="1">
        <v>4100</v>
      </c>
      <c r="H13" s="1">
        <v>3500</v>
      </c>
      <c r="I13" s="1">
        <v>3000</v>
      </c>
      <c r="J13" s="1">
        <v>5200</v>
      </c>
      <c r="K13" s="1">
        <v>6900</v>
      </c>
      <c r="L13">
        <v>800</v>
      </c>
    </row>
    <row r="15" spans="1:19" x14ac:dyDescent="0.3">
      <c r="A15" s="4" t="s">
        <v>38</v>
      </c>
      <c r="B15" s="1">
        <f>E38</f>
        <v>5900</v>
      </c>
      <c r="C15" s="1">
        <f>E39</f>
        <v>5500</v>
      </c>
      <c r="D15" s="1">
        <f>E40</f>
        <v>5100</v>
      </c>
      <c r="E15" s="1">
        <f>E41</f>
        <v>4600</v>
      </c>
      <c r="F15" s="1">
        <f>E42</f>
        <v>4200</v>
      </c>
      <c r="G15" s="1">
        <f>E43</f>
        <v>3400</v>
      </c>
      <c r="H15" s="1">
        <f>E44</f>
        <v>3000</v>
      </c>
      <c r="I15" s="1">
        <f>E45</f>
        <v>2600</v>
      </c>
      <c r="J15" s="1">
        <f>E46</f>
        <v>4800</v>
      </c>
      <c r="K15" s="1">
        <f>E47</f>
        <v>6300</v>
      </c>
      <c r="L15">
        <v>500</v>
      </c>
    </row>
    <row r="16" spans="1:19" x14ac:dyDescent="0.3">
      <c r="A16" t="s">
        <v>39</v>
      </c>
      <c r="B16" s="1">
        <f>F38</f>
        <v>6000</v>
      </c>
      <c r="C16" s="1">
        <f>F39</f>
        <v>5600</v>
      </c>
      <c r="D16" s="1">
        <f>F40</f>
        <v>5100</v>
      </c>
      <c r="E16" s="1">
        <f>F41</f>
        <v>4700</v>
      </c>
      <c r="F16" s="1">
        <f>F42</f>
        <v>4200</v>
      </c>
      <c r="G16" s="1">
        <f>F43</f>
        <v>3500</v>
      </c>
      <c r="H16" s="1">
        <f>F44</f>
        <v>3000</v>
      </c>
      <c r="I16" s="1">
        <f>F45</f>
        <v>2600</v>
      </c>
      <c r="J16" s="1">
        <f>F46</f>
        <v>4800</v>
      </c>
      <c r="K16" s="1">
        <f>F47</f>
        <v>6400</v>
      </c>
      <c r="L16">
        <v>500</v>
      </c>
    </row>
    <row r="17" spans="1:18" x14ac:dyDescent="0.3">
      <c r="A17" t="s">
        <v>84</v>
      </c>
      <c r="B17" s="1">
        <f>G38</f>
        <v>6200</v>
      </c>
      <c r="C17" s="1">
        <f>G39</f>
        <v>5700</v>
      </c>
      <c r="D17" s="1">
        <f>G40</f>
        <v>5300</v>
      </c>
      <c r="E17" s="1">
        <f>G41</f>
        <v>4800</v>
      </c>
      <c r="F17" s="1">
        <f>G42</f>
        <v>4300</v>
      </c>
      <c r="G17" s="1">
        <f>G43</f>
        <v>3600</v>
      </c>
      <c r="H17" s="1">
        <f>G44</f>
        <v>3100</v>
      </c>
      <c r="I17" s="1">
        <f>G45</f>
        <v>2600</v>
      </c>
      <c r="J17" s="1">
        <f>G46</f>
        <v>4900</v>
      </c>
      <c r="K17" s="1">
        <f>G47</f>
        <v>6400</v>
      </c>
      <c r="L17">
        <v>600</v>
      </c>
    </row>
    <row r="18" spans="1:18" x14ac:dyDescent="0.3">
      <c r="A18" t="s">
        <v>85</v>
      </c>
      <c r="B18" s="1">
        <f>H38</f>
        <v>6900</v>
      </c>
      <c r="C18" s="1">
        <f>H39</f>
        <v>6400</v>
      </c>
      <c r="D18" s="1">
        <f>H40</f>
        <v>5800</v>
      </c>
      <c r="E18" s="1">
        <f>H41</f>
        <v>5300</v>
      </c>
      <c r="F18" s="1">
        <f>H42</f>
        <v>4800</v>
      </c>
      <c r="G18" s="1">
        <f>H43</f>
        <v>3900</v>
      </c>
      <c r="H18" s="1">
        <f>H44</f>
        <v>3400</v>
      </c>
      <c r="I18" s="1">
        <f>H45</f>
        <v>2800</v>
      </c>
      <c r="J18" s="1">
        <f>H46</f>
        <v>5100</v>
      </c>
      <c r="K18" s="1">
        <f>H47</f>
        <v>6800</v>
      </c>
      <c r="L18">
        <v>600</v>
      </c>
    </row>
    <row r="19" spans="1:18" x14ac:dyDescent="0.3">
      <c r="A19" t="s">
        <v>86</v>
      </c>
      <c r="B19" s="1">
        <f>I38</f>
        <v>7300</v>
      </c>
      <c r="C19" s="1">
        <f>I39</f>
        <v>6700</v>
      </c>
      <c r="D19" s="1">
        <f>I40</f>
        <v>6100</v>
      </c>
      <c r="E19" s="1">
        <f>I41</f>
        <v>5600</v>
      </c>
      <c r="F19" s="1">
        <f>I42</f>
        <v>5000</v>
      </c>
      <c r="G19" s="1">
        <f>I43</f>
        <v>4100</v>
      </c>
      <c r="H19" s="1">
        <f>I44</f>
        <v>3500</v>
      </c>
      <c r="I19" s="1">
        <f>I45</f>
        <v>3000</v>
      </c>
      <c r="J19" s="1">
        <f>I46</f>
        <v>5200</v>
      </c>
      <c r="K19" s="1">
        <f>I47</f>
        <v>6900</v>
      </c>
      <c r="L19">
        <v>800</v>
      </c>
    </row>
    <row r="21" spans="1:18" x14ac:dyDescent="0.3">
      <c r="E21" t="s">
        <v>24</v>
      </c>
      <c r="F21" t="s">
        <v>25</v>
      </c>
      <c r="G21" t="s">
        <v>26</v>
      </c>
      <c r="H21" t="s">
        <v>27</v>
      </c>
      <c r="I21" t="s">
        <v>28</v>
      </c>
      <c r="N21" t="s">
        <v>24</v>
      </c>
      <c r="O21" t="s">
        <v>48</v>
      </c>
      <c r="P21" t="s">
        <v>49</v>
      </c>
      <c r="Q21" t="s">
        <v>27</v>
      </c>
      <c r="R21" t="s">
        <v>28</v>
      </c>
    </row>
    <row r="22" spans="1:18" x14ac:dyDescent="0.3">
      <c r="E22">
        <v>7700</v>
      </c>
      <c r="F22">
        <v>7800</v>
      </c>
      <c r="G22">
        <v>8000</v>
      </c>
      <c r="H22">
        <v>8800</v>
      </c>
      <c r="I22">
        <v>9200</v>
      </c>
      <c r="K22">
        <v>100</v>
      </c>
      <c r="N22">
        <v>6900</v>
      </c>
      <c r="O22">
        <v>7200</v>
      </c>
      <c r="P22">
        <v>7400</v>
      </c>
      <c r="Q22">
        <v>8000</v>
      </c>
      <c r="R22">
        <v>8300</v>
      </c>
    </row>
    <row r="23" spans="1:18" x14ac:dyDescent="0.3">
      <c r="E23">
        <v>7200</v>
      </c>
      <c r="F23">
        <v>7200</v>
      </c>
      <c r="G23">
        <v>7400</v>
      </c>
      <c r="H23">
        <v>8100</v>
      </c>
      <c r="I23">
        <v>8500</v>
      </c>
      <c r="K23">
        <v>90</v>
      </c>
      <c r="N23">
        <v>6400</v>
      </c>
      <c r="O23">
        <v>6700</v>
      </c>
      <c r="P23">
        <v>6800</v>
      </c>
      <c r="Q23">
        <v>7400</v>
      </c>
      <c r="R23">
        <v>7700</v>
      </c>
    </row>
    <row r="24" spans="1:18" x14ac:dyDescent="0.3">
      <c r="E24">
        <v>6700</v>
      </c>
      <c r="F24">
        <v>6700</v>
      </c>
      <c r="G24">
        <v>6900</v>
      </c>
      <c r="H24">
        <v>7500</v>
      </c>
      <c r="I24">
        <v>7800</v>
      </c>
      <c r="K24">
        <v>80</v>
      </c>
      <c r="N24">
        <v>6000</v>
      </c>
      <c r="O24">
        <v>6200</v>
      </c>
      <c r="P24">
        <v>6300</v>
      </c>
      <c r="Q24">
        <v>6900</v>
      </c>
      <c r="R24">
        <v>7100</v>
      </c>
    </row>
    <row r="25" spans="1:18" x14ac:dyDescent="0.3">
      <c r="E25">
        <v>6100</v>
      </c>
      <c r="F25">
        <v>6200</v>
      </c>
      <c r="G25">
        <v>6300</v>
      </c>
      <c r="H25">
        <v>6900</v>
      </c>
      <c r="I25">
        <v>7100</v>
      </c>
      <c r="K25">
        <v>70</v>
      </c>
      <c r="N25">
        <v>5500</v>
      </c>
      <c r="O25">
        <v>5700</v>
      </c>
      <c r="P25">
        <v>5800</v>
      </c>
      <c r="Q25">
        <v>6300</v>
      </c>
      <c r="R25">
        <v>6500</v>
      </c>
    </row>
    <row r="26" spans="1:18" x14ac:dyDescent="0.3">
      <c r="E26">
        <v>5600</v>
      </c>
      <c r="F26">
        <v>5600</v>
      </c>
      <c r="G26">
        <v>5700</v>
      </c>
      <c r="H26">
        <v>6200</v>
      </c>
      <c r="I26">
        <v>6500</v>
      </c>
      <c r="K26">
        <v>60</v>
      </c>
      <c r="N26">
        <v>5000</v>
      </c>
      <c r="O26">
        <v>5200</v>
      </c>
      <c r="P26">
        <v>5300</v>
      </c>
      <c r="Q26">
        <v>5700</v>
      </c>
      <c r="R26">
        <v>5900</v>
      </c>
    </row>
    <row r="27" spans="1:18" x14ac:dyDescent="0.3">
      <c r="E27">
        <v>4500</v>
      </c>
      <c r="F27">
        <v>4600</v>
      </c>
      <c r="G27">
        <v>4700</v>
      </c>
      <c r="H27">
        <v>5100</v>
      </c>
      <c r="I27">
        <v>5300</v>
      </c>
      <c r="K27">
        <v>50</v>
      </c>
      <c r="N27">
        <v>4000</v>
      </c>
      <c r="O27">
        <v>4200</v>
      </c>
      <c r="P27">
        <v>4300</v>
      </c>
      <c r="Q27">
        <v>4600</v>
      </c>
      <c r="R27">
        <v>4800</v>
      </c>
    </row>
    <row r="28" spans="1:18" x14ac:dyDescent="0.3">
      <c r="E28">
        <v>4000</v>
      </c>
      <c r="F28">
        <v>4000</v>
      </c>
      <c r="G28">
        <v>4100</v>
      </c>
      <c r="H28">
        <v>4400</v>
      </c>
      <c r="I28">
        <v>4600</v>
      </c>
      <c r="K28">
        <v>40</v>
      </c>
      <c r="N28">
        <v>3600</v>
      </c>
      <c r="O28">
        <v>3700</v>
      </c>
      <c r="P28">
        <v>3800</v>
      </c>
      <c r="Q28">
        <v>4000</v>
      </c>
      <c r="R28">
        <v>4100</v>
      </c>
    </row>
    <row r="29" spans="1:18" x14ac:dyDescent="0.3">
      <c r="E29">
        <v>3500</v>
      </c>
      <c r="F29">
        <v>3500</v>
      </c>
      <c r="G29">
        <v>3500</v>
      </c>
      <c r="H29">
        <v>3800</v>
      </c>
      <c r="I29">
        <v>3900</v>
      </c>
      <c r="K29">
        <v>30</v>
      </c>
      <c r="N29">
        <v>3100</v>
      </c>
      <c r="O29">
        <v>3200</v>
      </c>
      <c r="P29">
        <v>3200</v>
      </c>
      <c r="Q29">
        <v>3400</v>
      </c>
      <c r="R29">
        <v>3500</v>
      </c>
    </row>
    <row r="30" spans="1:18" x14ac:dyDescent="0.3">
      <c r="E30">
        <v>7800</v>
      </c>
      <c r="F30">
        <v>7800</v>
      </c>
      <c r="G30">
        <v>7900</v>
      </c>
      <c r="H30">
        <v>8200</v>
      </c>
      <c r="I30">
        <v>8400</v>
      </c>
      <c r="K30">
        <v>90</v>
      </c>
      <c r="N30">
        <v>7000</v>
      </c>
      <c r="O30">
        <v>7200</v>
      </c>
      <c r="P30">
        <v>7200</v>
      </c>
      <c r="Q30">
        <v>7500</v>
      </c>
      <c r="R30">
        <v>7600</v>
      </c>
    </row>
    <row r="31" spans="1:18" x14ac:dyDescent="0.3">
      <c r="E31">
        <v>9500</v>
      </c>
      <c r="F31">
        <v>9600</v>
      </c>
      <c r="G31">
        <v>9700</v>
      </c>
      <c r="H31">
        <v>10200</v>
      </c>
      <c r="I31">
        <v>10400</v>
      </c>
      <c r="K31">
        <v>90</v>
      </c>
      <c r="N31">
        <v>8700</v>
      </c>
      <c r="O31">
        <v>8900</v>
      </c>
      <c r="P31">
        <v>9000</v>
      </c>
      <c r="Q31">
        <v>9400</v>
      </c>
      <c r="R31">
        <v>9600</v>
      </c>
    </row>
    <row r="32" spans="1:18" x14ac:dyDescent="0.3">
      <c r="E32">
        <v>7800</v>
      </c>
      <c r="F32">
        <v>7900</v>
      </c>
      <c r="G32">
        <v>7900</v>
      </c>
      <c r="H32">
        <v>8300</v>
      </c>
      <c r="I32">
        <v>8500</v>
      </c>
      <c r="K32">
        <v>50</v>
      </c>
      <c r="N32">
        <v>7200</v>
      </c>
      <c r="O32">
        <v>7300</v>
      </c>
      <c r="P32">
        <v>7400</v>
      </c>
      <c r="Q32">
        <v>7800</v>
      </c>
      <c r="R32">
        <v>7900</v>
      </c>
    </row>
    <row r="33" spans="5:18" x14ac:dyDescent="0.3">
      <c r="E33">
        <f>E32+300</f>
        <v>8100</v>
      </c>
      <c r="F33">
        <f>F32+300</f>
        <v>8200</v>
      </c>
      <c r="G33">
        <f>G32+300</f>
        <v>8200</v>
      </c>
      <c r="H33">
        <f>H32+300</f>
        <v>8600</v>
      </c>
      <c r="I33">
        <f>I32+300</f>
        <v>8800</v>
      </c>
      <c r="K33">
        <v>60</v>
      </c>
    </row>
    <row r="34" spans="5:18" x14ac:dyDescent="0.3">
      <c r="E34">
        <f t="shared" ref="E34:E36" si="1">E33+300</f>
        <v>8400</v>
      </c>
      <c r="F34">
        <f t="shared" ref="F34:F36" si="2">F33+300</f>
        <v>8500</v>
      </c>
      <c r="G34">
        <f t="shared" ref="G34:G36" si="3">G33+300</f>
        <v>8500</v>
      </c>
      <c r="H34">
        <f t="shared" ref="H34:H36" si="4">H33+300</f>
        <v>8900</v>
      </c>
      <c r="I34">
        <f t="shared" ref="I34:I36" si="5">I33+300</f>
        <v>9100</v>
      </c>
      <c r="K34">
        <v>70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5:18" x14ac:dyDescent="0.3">
      <c r="E35">
        <f t="shared" si="1"/>
        <v>8700</v>
      </c>
      <c r="F35">
        <f t="shared" si="2"/>
        <v>8800</v>
      </c>
      <c r="G35">
        <f t="shared" si="3"/>
        <v>8800</v>
      </c>
      <c r="H35">
        <f t="shared" si="4"/>
        <v>9200</v>
      </c>
      <c r="I35">
        <f t="shared" si="5"/>
        <v>9400</v>
      </c>
      <c r="K35">
        <v>80</v>
      </c>
      <c r="N35">
        <v>5600</v>
      </c>
      <c r="O35">
        <v>5700</v>
      </c>
      <c r="P35">
        <v>6000</v>
      </c>
      <c r="Q35">
        <v>6600</v>
      </c>
      <c r="R35">
        <v>7000</v>
      </c>
    </row>
    <row r="36" spans="5:18" x14ac:dyDescent="0.3">
      <c r="E36">
        <f t="shared" si="1"/>
        <v>9000</v>
      </c>
      <c r="F36">
        <f t="shared" si="2"/>
        <v>9100</v>
      </c>
      <c r="G36">
        <f t="shared" si="3"/>
        <v>9100</v>
      </c>
      <c r="H36">
        <f t="shared" si="4"/>
        <v>9500</v>
      </c>
      <c r="I36">
        <f t="shared" si="5"/>
        <v>9700</v>
      </c>
      <c r="K36">
        <v>90</v>
      </c>
      <c r="N36">
        <v>5200</v>
      </c>
      <c r="O36">
        <v>5300</v>
      </c>
      <c r="P36">
        <v>5500</v>
      </c>
      <c r="Q36">
        <v>6100</v>
      </c>
      <c r="R36">
        <v>6400</v>
      </c>
    </row>
    <row r="37" spans="5:18" x14ac:dyDescent="0.3">
      <c r="E37" s="1"/>
      <c r="G37" s="1"/>
      <c r="H37" s="1"/>
      <c r="I37" s="1"/>
      <c r="N37">
        <v>4700</v>
      </c>
      <c r="O37">
        <v>4800</v>
      </c>
      <c r="P37">
        <v>5100</v>
      </c>
      <c r="Q37">
        <v>5500</v>
      </c>
      <c r="R37">
        <v>5900</v>
      </c>
    </row>
    <row r="38" spans="5:18" x14ac:dyDescent="0.3">
      <c r="E38">
        <v>5900</v>
      </c>
      <c r="F38">
        <v>6000</v>
      </c>
      <c r="G38">
        <v>6200</v>
      </c>
      <c r="H38">
        <v>6900</v>
      </c>
      <c r="I38">
        <v>7300</v>
      </c>
      <c r="K38">
        <v>100</v>
      </c>
      <c r="N38">
        <v>4300</v>
      </c>
      <c r="O38">
        <v>4400</v>
      </c>
      <c r="P38">
        <v>4600</v>
      </c>
      <c r="Q38">
        <v>5000</v>
      </c>
      <c r="R38">
        <v>5300</v>
      </c>
    </row>
    <row r="39" spans="5:18" x14ac:dyDescent="0.3">
      <c r="E39">
        <v>5500</v>
      </c>
      <c r="F39">
        <v>5600</v>
      </c>
      <c r="G39">
        <v>5700</v>
      </c>
      <c r="H39">
        <v>6400</v>
      </c>
      <c r="I39">
        <v>6700</v>
      </c>
      <c r="K39">
        <v>90</v>
      </c>
      <c r="N39">
        <v>3900</v>
      </c>
      <c r="O39">
        <v>4000</v>
      </c>
      <c r="P39">
        <v>4200</v>
      </c>
      <c r="Q39">
        <v>4500</v>
      </c>
      <c r="R39">
        <v>4800</v>
      </c>
    </row>
    <row r="40" spans="5:18" x14ac:dyDescent="0.3">
      <c r="E40">
        <v>5100</v>
      </c>
      <c r="F40">
        <v>5100</v>
      </c>
      <c r="G40">
        <v>5300</v>
      </c>
      <c r="H40">
        <v>5800</v>
      </c>
      <c r="I40">
        <v>6100</v>
      </c>
      <c r="K40">
        <v>80</v>
      </c>
      <c r="N40">
        <v>3200</v>
      </c>
      <c r="O40">
        <v>3300</v>
      </c>
      <c r="P40">
        <v>3400</v>
      </c>
      <c r="Q40">
        <v>3700</v>
      </c>
      <c r="R40">
        <v>3900</v>
      </c>
    </row>
    <row r="41" spans="5:18" x14ac:dyDescent="0.3">
      <c r="E41">
        <v>4600</v>
      </c>
      <c r="F41">
        <v>4700</v>
      </c>
      <c r="G41">
        <v>4800</v>
      </c>
      <c r="H41">
        <v>5300</v>
      </c>
      <c r="I41">
        <v>5600</v>
      </c>
      <c r="K41">
        <v>70</v>
      </c>
      <c r="N41">
        <v>2800</v>
      </c>
      <c r="O41">
        <v>2900</v>
      </c>
      <c r="P41">
        <v>3000</v>
      </c>
      <c r="Q41">
        <v>3200</v>
      </c>
      <c r="R41">
        <v>3400</v>
      </c>
    </row>
    <row r="42" spans="5:18" x14ac:dyDescent="0.3">
      <c r="E42">
        <v>4200</v>
      </c>
      <c r="F42">
        <v>4200</v>
      </c>
      <c r="G42">
        <v>4300</v>
      </c>
      <c r="H42">
        <v>4800</v>
      </c>
      <c r="I42">
        <v>5000</v>
      </c>
      <c r="K42">
        <v>60</v>
      </c>
      <c r="N42">
        <v>2400</v>
      </c>
      <c r="O42">
        <v>2400</v>
      </c>
      <c r="P42">
        <v>2500</v>
      </c>
      <c r="Q42">
        <v>2700</v>
      </c>
      <c r="R42">
        <v>2800</v>
      </c>
    </row>
    <row r="43" spans="5:18" x14ac:dyDescent="0.3">
      <c r="E43">
        <v>3400</v>
      </c>
      <c r="F43">
        <v>3500</v>
      </c>
      <c r="G43">
        <v>3600</v>
      </c>
      <c r="H43">
        <v>3900</v>
      </c>
      <c r="I43">
        <v>4100</v>
      </c>
      <c r="K43">
        <v>50</v>
      </c>
      <c r="N43">
        <v>4500</v>
      </c>
      <c r="O43">
        <v>4500</v>
      </c>
      <c r="P43">
        <v>4600</v>
      </c>
      <c r="Q43">
        <v>4800</v>
      </c>
      <c r="R43">
        <v>4900</v>
      </c>
    </row>
    <row r="44" spans="5:18" x14ac:dyDescent="0.3">
      <c r="E44">
        <v>3000</v>
      </c>
      <c r="F44">
        <v>3000</v>
      </c>
      <c r="G44">
        <v>3100</v>
      </c>
      <c r="H44">
        <v>3400</v>
      </c>
      <c r="I44">
        <v>3500</v>
      </c>
      <c r="K44">
        <v>40</v>
      </c>
      <c r="N44">
        <v>6000</v>
      </c>
      <c r="O44">
        <v>6100</v>
      </c>
      <c r="P44">
        <v>6200</v>
      </c>
      <c r="Q44">
        <v>6500</v>
      </c>
      <c r="R44">
        <v>6600</v>
      </c>
    </row>
    <row r="45" spans="5:18" x14ac:dyDescent="0.3">
      <c r="E45">
        <v>2600</v>
      </c>
      <c r="F45">
        <v>2600</v>
      </c>
      <c r="G45">
        <v>2600</v>
      </c>
      <c r="H45">
        <v>2800</v>
      </c>
      <c r="I45">
        <v>3000</v>
      </c>
      <c r="K45">
        <v>30</v>
      </c>
    </row>
    <row r="46" spans="5:18" x14ac:dyDescent="0.3">
      <c r="E46">
        <v>4800</v>
      </c>
      <c r="F46">
        <v>4800</v>
      </c>
      <c r="G46">
        <v>4900</v>
      </c>
      <c r="H46">
        <v>5100</v>
      </c>
      <c r="I46">
        <v>5200</v>
      </c>
      <c r="K46">
        <v>60</v>
      </c>
    </row>
    <row r="47" spans="5:18" x14ac:dyDescent="0.3">
      <c r="E47">
        <v>6300</v>
      </c>
      <c r="F47">
        <v>6400</v>
      </c>
      <c r="G47">
        <v>6400</v>
      </c>
      <c r="H47">
        <v>6800</v>
      </c>
      <c r="I47">
        <v>6900</v>
      </c>
      <c r="K4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Лист1</vt:lpstr>
      <vt:lpstr>Sheet1</vt:lpstr>
      <vt:lpstr>Лист1!Print_Area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2026-04-01T14:25:35Z</dcterms:modified>
</cp:coreProperties>
</file>